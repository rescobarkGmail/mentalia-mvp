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8_{76CEA065-5707-4FE8-BC6F-C6011E497B2F}" xr6:coauthVersionLast="47" xr6:coauthVersionMax="47" xr10:uidLastSave="{00000000-0000-0000-0000-000000000000}"/>
  <bookViews>
    <workbookView xWindow="-120" yWindow="-120" windowWidth="29040" windowHeight="15720" firstSheet="5" activeTab="8" xr2:uid="{00000000-000D-0000-FFFF-FFFF00000000}"/>
  </bookViews>
  <sheets>
    <sheet name="profesional" sheetId="1" r:id="rId1"/>
    <sheet name="pacientes" sheetId="3" r:id="rId2"/>
    <sheet name="disponibilidad_profesional" sheetId="4" r:id="rId3"/>
    <sheet name="citas" sheetId="5" r:id="rId4"/>
    <sheet name="Reserva publica" sheetId="12" r:id="rId5"/>
    <sheet name="Vistas Publicas para Reservas" sheetId="11" r:id="rId6"/>
    <sheet name="sesionesClinicas" sheetId="6" r:id="rId7"/>
    <sheet name="profesionales_config" sheetId="7" r:id="rId8"/>
    <sheet name="Users" sheetId="2" r:id="rId9"/>
    <sheet name="AgendaOperativa" sheetId="8" r:id="rId10"/>
    <sheet name="Hoja2" sheetId="9" r:id="rId11"/>
    <sheet name="Flujo Reserva horas" sheetId="10" r:id="rId12"/>
    <sheet name="Validaciones Datos RUT y otros" sheetId="13" r:id="rId1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 a="1"/>
  <c r="B7" i="13" s="1"/>
  <c r="B3" i="12" a="1"/>
  <c r="B3" i="12" s="1"/>
  <c r="B4" i="12" a="1"/>
  <c r="B4" i="12" s="1"/>
  <c r="B6" i="12" a="1"/>
  <c r="B6" i="12" s="1"/>
  <c r="B16" i="12" a="1"/>
  <c r="B16" i="12" s="1"/>
  <c r="I32" i="5" a="1"/>
  <c r="I32" i="5" s="1"/>
  <c r="I33" i="5" a="1"/>
  <c r="I33" i="5" s="1"/>
  <c r="I35" i="5" a="1"/>
  <c r="I35" i="5" s="1"/>
  <c r="I45" i="5" a="1"/>
  <c r="I45" i="5" s="1"/>
  <c r="B23" i="11" a="1"/>
  <c r="B23" i="11" s="1"/>
  <c r="J47" i="1" a="1"/>
  <c r="J47" i="1" s="1"/>
  <c r="I40" i="4" a="1"/>
  <c r="I40" i="4" s="1"/>
  <c r="I39" i="4" a="1"/>
  <c r="I39" i="4" s="1"/>
  <c r="I45" i="4" a="1"/>
  <c r="I45" i="4" s="1"/>
  <c r="I73" i="4" a="1"/>
  <c r="I73" i="4" s="1"/>
  <c r="B3" i="8" a="1"/>
  <c r="B3" i="8" s="1"/>
  <c r="B5" i="8" a="1"/>
  <c r="B5" i="8" s="1"/>
  <c r="B51" i="8" a="1"/>
  <c r="B51" i="8"/>
  <c r="B67" i="8" a="1"/>
  <c r="B67" i="8" s="1"/>
  <c r="B87" i="8" a="1"/>
  <c r="B87" i="8"/>
  <c r="B108" i="8" a="1"/>
  <c r="B108" i="8"/>
  <c r="B114" i="8" a="1"/>
  <c r="B114" i="8"/>
  <c r="B116" i="8" a="1"/>
  <c r="B116" i="8" s="1"/>
  <c r="B160" i="8" a="1"/>
  <c r="B160" i="8" s="1"/>
  <c r="J5" i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<sst xmlns="http://schemas.openxmlformats.org/spreadsheetml/2006/main" count="1453" uniqueCount="888">
  <si>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</si>
  <si>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</si>
  <si>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</si>
  <si>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</si>
  <si>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</si>
  <si>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</si>
  <si>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</si>
  <si>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</si>
  <si>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</si>
  <si>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</si>
  <si>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</si>
  <si>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</si>
  <si>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</si>
  <si>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</si>
  <si>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</si>
  <si>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</si>
  <si>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</si>
  <si>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</si>
  <si>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</si>
  <si>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</si>
  <si>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</si>
  <si>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</si>
  <si>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</si>
  <si>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</si>
  <si>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</si>
  <si>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</si>
  <si>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</si>
  <si>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</si>
  <si>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</si>
  <si>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</si>
  <si>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</si>
  <si>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</si>
  <si>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</si>
  <si>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</si>
  <si>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</si>
  <si>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</si>
  <si>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</si>
  <si>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</si>
  <si>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</si>
  <si>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</si>
  <si>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</si>
  <si>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</si>
  <si>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</si>
  <si>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</si>
  <si>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</si>
  <si>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</si>
  <si>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</si>
  <si>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</si>
  <si>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</si>
  <si>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</si>
  <si>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</si>
  <si>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</si>
  <si>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</si>
  <si>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</si>
  <si>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</si>
  <si>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</si>
  <si>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</si>
  <si>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</si>
  <si>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</si>
  <si>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</si>
  <si>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</si>
  <si>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</si>
  <si>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</si>
  <si>
    <t>Permisos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</si>
  <si>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</t>
    </r>
  </si>
  <si>
    <r>
      <t xml:space="preserve">add </t>
    </r>
    <r>
      <rPr>
        <sz val="7"/>
        <color rgb="FF0000FF"/>
        <rFont val="Consolas"/>
        <family val="3"/>
      </rPr>
      <t>constraint</t>
    </r>
    <r>
      <rPr>
        <sz val="7"/>
        <color rgb="FF444444"/>
        <rFont val="Consolas"/>
        <family val="3"/>
      </rPr>
      <t xml:space="preserve"> fk_profesional_user</t>
    </r>
  </si>
  <si>
    <r>
      <t>foreign</t>
    </r>
    <r>
      <rPr>
        <sz val="7"/>
        <color rgb="FF444444"/>
        <rFont val="Consolas"/>
        <family val="3"/>
      </rPr>
      <t xml:space="preserve"> key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</si>
  <si>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</si>
  <si>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;</t>
    </r>
  </si>
  <si>
    <t>Foreing Key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</si>
  <si>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</t>
    </r>
    <r>
      <rPr>
        <sz val="7"/>
        <color rgb="FF000000"/>
        <rFont val="Consolas"/>
        <family val="3"/>
      </rPr>
      <t>(</t>
    </r>
  </si>
  <si>
    <r>
      <t xml:space="preserve">  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</si>
  <si>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</si>
  <si>
    <r>
      <t xml:space="preserve">   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</si>
  <si>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nombres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</si>
  <si>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apellidos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</si>
  <si>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identificador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</si>
  <si>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>  email varchar</t>
    </r>
    <r>
      <rPr>
        <sz val="7"/>
        <color rgb="FF000000"/>
        <rFont val="Consolas"/>
        <family val="3"/>
      </rPr>
      <t>,</t>
    </r>
  </si>
  <si>
    <r>
      <t>  telefono varchar</t>
    </r>
    <r>
      <rPr>
        <sz val="7"/>
        <color rgb="FF000000"/>
        <rFont val="Consolas"/>
        <family val="3"/>
      </rPr>
      <t>,</t>
    </r>
  </si>
  <si>
    <r>
      <t>  fecha_nacimiento timestamp</t>
    </r>
    <r>
      <rPr>
        <sz val="7"/>
        <color rgb="FF000000"/>
        <rFont val="Consolas"/>
        <family val="3"/>
      </rPr>
      <t>,</t>
    </r>
  </si>
  <si>
    <r>
      <t>  contacto_urgencia varchar</t>
    </r>
    <r>
      <rPr>
        <sz val="7"/>
        <color rgb="FF000000"/>
        <rFont val="Consolas"/>
        <family val="3"/>
      </rPr>
      <t>,</t>
    </r>
  </si>
  <si>
    <r>
      <t>  telefono_emergencia varchar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</si>
  <si>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</si>
  <si>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</si>
  <si>
    <t xml:space="preserve"> id</t>
  </si>
  <si>
    <t>primary key</t>
  </si>
  <si>
    <t xml:space="preserve">uuid </t>
  </si>
  <si>
    <t>not null</t>
  </si>
  <si>
    <t>references auth.users(id) on delete cascade</t>
  </si>
  <si>
    <t>llave primaria del regsitro de pacientes</t>
  </si>
  <si>
    <t>id del profesional</t>
  </si>
  <si>
    <t xml:space="preserve">profesional_id </t>
  </si>
  <si>
    <t>nombres del paciente</t>
  </si>
  <si>
    <t>apellidos del paciente</t>
  </si>
  <si>
    <t>fecha_nacimiento</t>
  </si>
  <si>
    <t>contacto_urgencia</t>
  </si>
  <si>
    <t>telefono_emergencia</t>
  </si>
  <si>
    <t xml:space="preserve"> fecha_crea</t>
  </si>
  <si>
    <t>activo</t>
  </si>
  <si>
    <r>
      <t>  genero varchar</t>
    </r>
    <r>
      <rPr>
        <sz val="7"/>
        <color rgb="FF000000"/>
        <rFont val="Consolas"/>
        <family val="3"/>
      </rPr>
      <t>,</t>
    </r>
  </si>
  <si>
    <r>
      <rPr>
        <sz val="7"/>
        <color rgb="FF444444"/>
        <rFont val="Consolas"/>
        <family val="3"/>
      </rPr>
      <t xml:space="preserve">--drop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if exists pacientes</t>
    </r>
    <r>
      <rPr>
        <sz val="7"/>
        <color rgb="FF000000"/>
        <rFont val="Consolas"/>
        <family val="3"/>
      </rPr>
      <t>;</t>
    </r>
  </si>
  <si>
    <t>--drop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</si>
  <si>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</si>
  <si>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pacientes"</t>
    </r>
  </si>
  <si>
    <r>
      <t>on</t>
    </r>
    <r>
      <rPr>
        <sz val="7"/>
        <color rgb="FF444444"/>
        <rFont val="Consolas"/>
        <family val="3"/>
      </rPr>
      <t xml:space="preserve"> pacientes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</si>
  <si>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</si>
  <si>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crea pacientes"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</si>
  <si>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</si>
  <si>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actualiza pacientes"</t>
    </r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</si>
  <si>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</t>
    </r>
    <r>
      <rPr>
        <sz val="7"/>
        <color rgb="FF000000"/>
        <rFont val="Consolas"/>
        <family val="3"/>
      </rPr>
      <t>(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</si>
  <si>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</si>
  <si>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dia_semana int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</si>
  <si>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hora_inicio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</si>
  <si>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hora_fin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</si>
  <si>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duracion_minutos int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98658"/>
        <rFont val="Consolas"/>
        <family val="3"/>
      </rPr>
      <t>60</t>
    </r>
    <r>
      <rPr>
        <sz val="7"/>
        <color rgb="FF000000"/>
        <rFont val="Consolas"/>
        <family val="3"/>
      </rPr>
      <t>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</si>
  <si>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</si>
  <si>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</si>
  <si>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</si>
  <si>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 disponibilidad"</t>
    </r>
  </si>
  <si>
    <r>
      <t>on</t>
    </r>
    <r>
      <rPr>
        <sz val="7"/>
        <color rgb="FF444444"/>
        <rFont val="Consolas"/>
        <family val="3"/>
      </rPr>
      <t xml:space="preserve"> disponibilidad_profesional</t>
    </r>
  </si>
  <si>
    <r>
      <t>create</t>
    </r>
    <r>
      <rPr>
        <sz val="7"/>
        <color rgb="FF444444"/>
        <rFont val="Consolas"/>
        <family val="3"/>
      </rPr>
      <t xml:space="preserve"> policy "profesional crea su disponibilidad"</t>
    </r>
  </si>
  <si>
    <r>
      <t>create</t>
    </r>
    <r>
      <rPr>
        <sz val="7"/>
        <color rgb="FF444444"/>
        <rFont val="Consolas"/>
        <family val="3"/>
      </rPr>
      <t xml:space="preserve"> policy "profesional actualiza su disponibilidad"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</si>
  <si>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</t>
    </r>
  </si>
  <si>
    <r>
      <t>create</t>
    </r>
    <r>
      <rPr>
        <sz val="7"/>
        <color rgb="FF444444"/>
        <rFont val="Consolas"/>
        <family val="3"/>
      </rPr>
      <t xml:space="preserve"> policy "profesional elimina su disponibilidad"</t>
    </r>
  </si>
  <si>
    <r>
      <t>for</t>
    </r>
    <r>
      <rPr>
        <sz val="7"/>
        <color rgb="FF444444"/>
        <rFont val="Consolas"/>
        <family val="3"/>
      </rPr>
      <t xml:space="preserve"> delete</t>
    </r>
  </si>
  <si>
    <t>email del paciente</t>
  </si>
  <si>
    <t>telefono del paciente</t>
  </si>
  <si>
    <t>genero del paciente</t>
  </si>
  <si>
    <t>fecha de nacimiento del paciente</t>
  </si>
  <si>
    <t>nombre de la persona para contactar en caso de emergencia</t>
  </si>
  <si>
    <t>telefono de la persona en caso de contactar</t>
  </si>
  <si>
    <t>fecha creacion del registro</t>
  </si>
  <si>
    <t>estado del paciente en el sistema, True o False</t>
  </si>
  <si>
    <t xml:space="preserve"> primary key default gen_random_uuid()</t>
  </si>
  <si>
    <t>id unico del registro disponibilidad profesional</t>
  </si>
  <si>
    <r>
      <t xml:space="preserve">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</si>
  <si>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t>profesional_id</t>
  </si>
  <si>
    <t>references auth.users(id) on delete cascade,</t>
  </si>
  <si>
    <t>dia_semana</t>
  </si>
  <si>
    <t xml:space="preserve"> int </t>
  </si>
  <si>
    <t xml:space="preserve">hora_inicio </t>
  </si>
  <si>
    <t xml:space="preserve">time </t>
  </si>
  <si>
    <t>hora_fin</t>
  </si>
  <si>
    <t>duracion_minutos</t>
  </si>
  <si>
    <t>default 60</t>
  </si>
  <si>
    <t xml:space="preserve"> boolean </t>
  </si>
  <si>
    <t>default true,</t>
  </si>
  <si>
    <t xml:space="preserve"> timestamp </t>
  </si>
  <si>
    <t>citas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</si>
  <si>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</t>
    </r>
    <r>
      <rPr>
        <sz val="7"/>
        <color rgb="FF000000"/>
        <rFont val="Consolas"/>
        <family val="3"/>
      </rPr>
      <t>(</t>
    </r>
  </si>
  <si>
    <r>
      <t xml:space="preserve">  paciente_id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pacientes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</si>
  <si>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fecha date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</si>
  <si>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estado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'reservada'</t>
    </r>
    <r>
      <rPr>
        <sz val="7"/>
        <color rgb="FF000000"/>
        <rFont val="Consolas"/>
        <family val="3"/>
      </rPr>
      <t>,</t>
    </r>
  </si>
  <si>
    <r>
      <t xml:space="preserve">  origen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'Mentalia'</t>
    </r>
    <r>
      <rPr>
        <sz val="7"/>
        <color rgb="FF000000"/>
        <rFont val="Consolas"/>
        <family val="3"/>
      </rPr>
      <t>,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</si>
  <si>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</si>
  <si>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</si>
  <si>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</si>
  <si>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create</t>
    </r>
    <r>
      <rPr>
        <sz val="7"/>
        <color rgb="FF444444"/>
        <rFont val="Consolas"/>
        <family val="3"/>
      </rPr>
      <t xml:space="preserve"> policy "profesional crea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</si>
  <si>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insert</t>
    </r>
  </si>
  <si>
    <r>
      <t>create</t>
    </r>
    <r>
      <rPr>
        <sz val="7"/>
        <color rgb="FF444444"/>
        <rFont val="Consolas"/>
        <family val="3"/>
      </rPr>
      <t xml:space="preserve"> policy "profesional actualiza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</si>
  <si>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update</t>
    </r>
  </si>
  <si>
    <t>Juan Eduardo</t>
  </si>
  <si>
    <t>Emilia Beatriz</t>
  </si>
  <si>
    <t>Silvia Inés</t>
  </si>
  <si>
    <t>Michelle</t>
  </si>
  <si>
    <t>Verónica</t>
  </si>
  <si>
    <t>Pedro Antonio</t>
  </si>
  <si>
    <t>Matías Alonso</t>
  </si>
  <si>
    <t>Fernado Valentín</t>
  </si>
  <si>
    <t>Carlos Danilo</t>
  </si>
  <si>
    <t>Patricio Esteban</t>
  </si>
  <si>
    <t>Insaurralde</t>
  </si>
  <si>
    <t>Viña Santander</t>
  </si>
  <si>
    <t>Sandoval</t>
  </si>
  <si>
    <t>Cornejo</t>
  </si>
  <si>
    <t>Tapia</t>
  </si>
  <si>
    <t>Gotti</t>
  </si>
  <si>
    <t>Escobar</t>
  </si>
  <si>
    <t>Urrutia Veloso</t>
  </si>
  <si>
    <t>Astudillo de Marco</t>
  </si>
  <si>
    <t>Peña Ross</t>
  </si>
  <si>
    <t>Profesionales</t>
  </si>
  <si>
    <t>Pacientes</t>
  </si>
  <si>
    <t>7000000-8</t>
  </si>
  <si>
    <t>7000001-6</t>
  </si>
  <si>
    <t>7000002-4</t>
  </si>
  <si>
    <t>7000003-2</t>
  </si>
  <si>
    <t>7000004-0</t>
  </si>
  <si>
    <t>7000005-9</t>
  </si>
  <si>
    <t>7000006-7</t>
  </si>
  <si>
    <t>7000007-5</t>
  </si>
  <si>
    <t>7000008-3</t>
  </si>
  <si>
    <t>7000009-1</t>
  </si>
  <si>
    <t>8000000-6</t>
  </si>
  <si>
    <t>8000001-4</t>
  </si>
  <si>
    <t>8000002-2</t>
  </si>
  <si>
    <t>8000003-0</t>
  </si>
  <si>
    <t>8000004-9</t>
  </si>
  <si>
    <t>8000005-7</t>
  </si>
  <si>
    <t>8000006-5</t>
  </si>
  <si>
    <t>8000007-3</t>
  </si>
  <si>
    <t>8000008-1</t>
  </si>
  <si>
    <t>8000009-K</t>
  </si>
  <si>
    <t>Luisa</t>
  </si>
  <si>
    <t>Almendra</t>
  </si>
  <si>
    <t>Elizabeth</t>
  </si>
  <si>
    <t>Javiera</t>
  </si>
  <si>
    <t>Isabel</t>
  </si>
  <si>
    <t>Andrés</t>
  </si>
  <si>
    <t>Felipe</t>
  </si>
  <si>
    <t>Vicente</t>
  </si>
  <si>
    <t>Gonzalo</t>
  </si>
  <si>
    <t>Diego</t>
  </si>
  <si>
    <t>Correa</t>
  </si>
  <si>
    <t>Tapia Morales</t>
  </si>
  <si>
    <t>Henke Rossi</t>
  </si>
  <si>
    <t>Venturi Sole</t>
  </si>
  <si>
    <t>Ragussa Molina</t>
  </si>
  <si>
    <t>Toledo Jiménez</t>
  </si>
  <si>
    <t>Morales Roco</t>
  </si>
  <si>
    <t>Corrales Jara</t>
  </si>
  <si>
    <t>San Martín Urra</t>
  </si>
  <si>
    <t>Esparza Vinoccio</t>
  </si>
  <si>
    <t>rescobark@hotmail.com</t>
  </si>
  <si>
    <t>rodolfo.escobar@gmail.com</t>
  </si>
  <si>
    <t>Hombre</t>
  </si>
  <si>
    <t>Mujer</t>
  </si>
  <si>
    <t>mentalia200@gmail.com</t>
  </si>
  <si>
    <t>mentalia.2026</t>
  </si>
  <si>
    <t>RUT</t>
  </si>
  <si>
    <t>mentalia201@gmail.com</t>
  </si>
  <si>
    <t>clave gmail</t>
  </si>
  <si>
    <t>Clave mentalia</t>
  </si>
  <si>
    <t>mentalia</t>
  </si>
  <si>
    <t>fecha_inicio date default current_date,</t>
  </si>
  <si>
    <t>fecha_fin date</t>
  </si>
  <si>
    <t>fecha_inicio</t>
  </si>
  <si>
    <t>fecha_fin</t>
  </si>
  <si>
    <t>date</t>
  </si>
  <si>
    <t>current_date</t>
  </si>
  <si>
    <t>create table sesiones_clinicas (</t>
  </si>
  <si>
    <t xml:space="preserve">  id uuid primary key default gen_random_uuid(),</t>
  </si>
  <si>
    <t xml:space="preserve">  cita_id uuid references citas(id) on delete cascade,</t>
  </si>
  <si>
    <t xml:space="preserve">  profesional_id uuid references auth.users(id) on delete cascade,</t>
  </si>
  <si>
    <t xml:space="preserve">  paciente_id uuid references pacientes(id) on delete cascade,</t>
  </si>
  <si>
    <t xml:space="preserve">  fecha timestamp default now(),</t>
  </si>
  <si>
    <t xml:space="preserve">  motivo_consulta text,</t>
  </si>
  <si>
    <t xml:space="preserve">  notas_clinicas text,</t>
  </si>
  <si>
    <t xml:space="preserve">  observaciones text,</t>
  </si>
  <si>
    <t xml:space="preserve">  tareas_acuerdos text,</t>
  </si>
  <si>
    <t xml:space="preserve">  estado varchar default 'borrador',</t>
  </si>
  <si>
    <t xml:space="preserve">  fecha_crea timestamp default now()</t>
  </si>
  <si>
    <t>alter table sesiones_clinicas enable row level security;</t>
  </si>
  <si>
    <t>create policy "profesional puede ver sus sesiones"</t>
  </si>
  <si>
    <t>on sesiones_clinicas</t>
  </si>
  <si>
    <t>for select</t>
  </si>
  <si>
    <t>using (auth.uid() = profesional_id);</t>
  </si>
  <si>
    <t>create policy "profesional puede crear sus sesiones"</t>
  </si>
  <si>
    <t>for insert</t>
  </si>
  <si>
    <t>with check (auth.uid() = profesional_id);</t>
  </si>
  <si>
    <t>create policy "profesional puede actualizar sus sesiones"</t>
  </si>
  <si>
    <t>for update</t>
  </si>
  <si>
    <t>using (auth.uid() = profesional_id)</t>
  </si>
  <si>
    <t>create policy "profesional puede eliminar sus sesiones"</t>
  </si>
  <si>
    <t>for delete</t>
  </si>
  <si>
    <r>
      <t xml:space="preserve">alter </t>
    </r>
    <r>
      <rPr>
        <sz val="10"/>
        <color rgb="FF0000FF"/>
        <rFont val="Consolas"/>
        <family val="3"/>
      </rPr>
      <t>table</t>
    </r>
    <r>
      <rPr>
        <sz val="10"/>
        <color rgb="FF444444"/>
        <rFont val="Consolas"/>
        <family val="3"/>
      </rPr>
      <t xml:space="preserve"> sesiones_clinicas</t>
    </r>
  </si>
  <si>
    <t>alter table sesiones_clinicas</t>
  </si>
  <si>
    <t>add column if not exists resumen_sesion text,</t>
  </si>
  <si>
    <t>add column if not exists foco_trabajado text,</t>
  </si>
  <si>
    <t>add column if not exists proxima_sesion text;</t>
  </si>
  <si>
    <r>
      <t xml:space="preserve">alter </t>
    </r>
    <r>
      <rPr>
        <u/>
        <sz val="10"/>
        <color rgb="FF0000FF"/>
        <rFont val="Consolas"/>
        <family val="3"/>
      </rPr>
      <t>table</t>
    </r>
    <r>
      <rPr>
        <u/>
        <sz val="10"/>
        <color rgb="FF444444"/>
        <rFont val="Consolas"/>
        <family val="3"/>
      </rPr>
      <t xml:space="preserve"> profesional</t>
    </r>
  </si>
  <si>
    <r>
      <t xml:space="preserve">add </t>
    </r>
    <r>
      <rPr>
        <u/>
        <sz val="10"/>
        <color rgb="FF0000FF"/>
        <rFont val="Consolas"/>
        <family val="3"/>
      </rPr>
      <t>column</t>
    </r>
    <r>
      <rPr>
        <u/>
        <sz val="10"/>
        <color rgb="FF444444"/>
        <rFont val="Consolas"/>
        <family val="3"/>
      </rPr>
      <t xml:space="preserve"> almacenamiento_clinico varchar </t>
    </r>
    <r>
      <rPr>
        <u/>
        <sz val="10"/>
        <color rgb="FF0000FF"/>
        <rFont val="Consolas"/>
        <family val="3"/>
      </rPr>
      <t>default</t>
    </r>
    <r>
      <rPr>
        <u/>
        <sz val="10"/>
        <color rgb="FF444444"/>
        <rFont val="Consolas"/>
        <family val="3"/>
      </rPr>
      <t xml:space="preserve"> </t>
    </r>
    <r>
      <rPr>
        <u/>
        <sz val="10"/>
        <color rgb="FF24B47E"/>
        <rFont val="Consolas"/>
        <family val="3"/>
      </rPr>
      <t>'mentalia_cloud'</t>
    </r>
    <r>
      <rPr>
        <u/>
        <sz val="10"/>
        <color rgb="FF000000"/>
        <rFont val="Consolas"/>
        <family val="3"/>
      </rPr>
      <t>;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</si>
  <si>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</si>
  <si>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storage_path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</si>
  <si>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contenido_local boolean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>;</t>
    </r>
  </si>
  <si>
    <r>
      <t>create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table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profesionales_config </t>
    </r>
    <r>
      <rPr>
        <sz val="10"/>
        <color rgb="FF000000"/>
        <rFont val="Consolas"/>
        <family val="3"/>
      </rPr>
      <t>(</t>
    </r>
  </si>
  <si>
    <r>
      <t xml:space="preserve">  id uuid </t>
    </r>
    <r>
      <rPr>
        <sz val="10"/>
        <color rgb="FF0000FF"/>
        <rFont val="Consolas"/>
        <family val="3"/>
      </rPr>
      <t>primary</t>
    </r>
    <r>
      <rPr>
        <sz val="10"/>
        <color rgb="FF444444"/>
        <rFont val="Consolas"/>
        <family val="3"/>
      </rPr>
      <t xml:space="preserve"> key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gen_random_uuid</t>
    </r>
    <r>
      <rPr>
        <sz val="10"/>
        <color rgb="FF000000"/>
        <rFont val="Consolas"/>
        <family val="3"/>
      </rPr>
      <t>(),</t>
    </r>
  </si>
  <si>
    <r>
      <t xml:space="preserve">  profesional_id uuid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</t>
    </r>
    <r>
      <rPr>
        <sz val="10"/>
        <color rgb="FF778899"/>
        <rFont val="Consolas"/>
        <family val="3"/>
      </rPr>
      <t>null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unique</t>
    </r>
  </si>
  <si>
    <r>
      <t xml:space="preserve">    </t>
    </r>
    <r>
      <rPr>
        <sz val="10"/>
        <color rgb="FF0000FF"/>
        <rFont val="Consolas"/>
        <family val="3"/>
      </rPr>
      <t>references</t>
    </r>
    <r>
      <rPr>
        <sz val="10"/>
        <color rgb="FF444444"/>
        <rFont val="Consolas"/>
        <family val="3"/>
      </rPr>
      <t xml:space="preserve"> auth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>users</t>
    </r>
    <r>
      <rPr>
        <sz val="10"/>
        <color rgb="FF000000"/>
        <rFont val="Consolas"/>
        <family val="3"/>
      </rPr>
      <t>(</t>
    </r>
    <r>
      <rPr>
        <sz val="10"/>
        <color rgb="FF444444"/>
        <rFont val="Consolas"/>
        <family val="3"/>
      </rPr>
      <t>id</t>
    </r>
    <r>
      <rPr>
        <sz val="10"/>
        <color rgb="FF000000"/>
        <rFont val="Consolas"/>
        <family val="3"/>
      </rPr>
      <t>)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delete cascade</t>
    </r>
    <r>
      <rPr>
        <sz val="10"/>
        <color rgb="FF000000"/>
        <rFont val="Consolas"/>
        <family val="3"/>
      </rPr>
      <t>,</t>
    </r>
  </si>
  <si>
    <r>
      <t xml:space="preserve"> 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</si>
  <si>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  fecha_crea timestamp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now</t>
    </r>
    <r>
      <rPr>
        <sz val="10"/>
        <color rgb="FF000000"/>
        <rFont val="Consolas"/>
        <family val="3"/>
      </rPr>
      <t>()</t>
    </r>
  </si>
  <si>
    <t>alter table profesionales_config enable row level security;</t>
  </si>
  <si>
    <t>create policy "profesional select config"</t>
  </si>
  <si>
    <t>on profesionales_config</t>
  </si>
  <si>
    <t>create policy "profesional insert config"</t>
  </si>
  <si>
    <t>create policy "profesional update config"</t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</si>
  <si>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</si>
  <si>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storage_file_id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</si>
  <si>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storage_path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</si>
  <si>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clinical_data_external boolean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>;</t>
    </r>
  </si>
  <si>
    <t>-- ============================================================</t>
  </si>
  <si>
    <t>-- Propósito:</t>
  </si>
  <si>
    <t>-- y un paciente de Mentalia, sin almacenar contenido clínico.</t>
  </si>
  <si>
    <t>create table if not exists public.agenda_operativa (</t>
  </si>
  <si>
    <t xml:space="preserve">  profesional_id uuid not null,</t>
  </si>
  <si>
    <t xml:space="preserve">  paciente_id uuid not null,</t>
  </si>
  <si>
    <t xml:space="preserve">  google_calendar_event_id text not null,</t>
  </si>
  <si>
    <t xml:space="preserve">  google_calendar_summary text,</t>
  </si>
  <si>
    <t xml:space="preserve">  google_calendar_inicio timestamptz,</t>
  </si>
  <si>
    <t xml:space="preserve">  google_calendar_fin timestamptz,</t>
  </si>
  <si>
    <t xml:space="preserve">  estado_operativo text not null default 'confirmada',</t>
  </si>
  <si>
    <t xml:space="preserve">  consentimiento_ia text not null default 'no_registrado',</t>
  </si>
  <si>
    <t xml:space="preserve">  origen text not null default 'google_calendar',</t>
  </si>
  <si>
    <t xml:space="preserve">  created_at timestamptz not null default now(),</t>
  </si>
  <si>
    <t xml:space="preserve">  updated_at timestamptz not null default now(),</t>
  </si>
  <si>
    <t xml:space="preserve">  constraint agenda_operativa_estado_chk</t>
  </si>
  <si>
    <t xml:space="preserve">    check (</t>
  </si>
  <si>
    <t xml:space="preserve">      estado_operativo in (</t>
  </si>
  <si>
    <t xml:space="preserve">        'pendiente_vinculacion',</t>
  </si>
  <si>
    <t xml:space="preserve">        'confirmada',</t>
  </si>
  <si>
    <t xml:space="preserve">        'reprogramada',</t>
  </si>
  <si>
    <t xml:space="preserve">        'cancelada',</t>
  </si>
  <si>
    <t xml:space="preserve">        'no_presentada',</t>
  </si>
  <si>
    <t xml:space="preserve">        'realizada'</t>
  </si>
  <si>
    <t xml:space="preserve">      )</t>
  </si>
  <si>
    <t xml:space="preserve">    ),</t>
  </si>
  <si>
    <t xml:space="preserve">  constraint agenda_operativa_consentimiento_chk</t>
  </si>
  <si>
    <t xml:space="preserve">      consentimiento_ia in (</t>
  </si>
  <si>
    <t xml:space="preserve">        'no_registrado',</t>
  </si>
  <si>
    <t xml:space="preserve">        'aceptado',</t>
  </si>
  <si>
    <t xml:space="preserve">        'rechazado'</t>
  </si>
  <si>
    <t xml:space="preserve">    )</t>
  </si>
  <si>
    <t>create unique index if not exists agenda_operativa_evento_profesional_idx</t>
  </si>
  <si>
    <t>on public.agenda_operativa (profesional_id, google_calendar_event_id);</t>
  </si>
  <si>
    <t>create index if not exists agenda_operativa_profesional_idx</t>
  </si>
  <si>
    <t>on public.agenda_operativa (profesional_id);</t>
  </si>
  <si>
    <t>create index if not exists agenda_operativa_paciente_idx</t>
  </si>
  <si>
    <t>on public.agenda_operativa (paciente_id);</t>
  </si>
  <si>
    <t>create index if not exists agenda_operativa_fecha_idx</t>
  </si>
  <si>
    <t>on public.agenda_operativa (google_calendar_inicio);</t>
  </si>
  <si>
    <t>-- Se agregan en bloque separado por si las tablas existen con nombres correctos.</t>
  </si>
  <si>
    <t>do $$</t>
  </si>
  <si>
    <t>begin</t>
  </si>
  <si>
    <t xml:space="preserve">  if not exists (</t>
  </si>
  <si>
    <t xml:space="preserve">    select 1</t>
  </si>
  <si>
    <t xml:space="preserve">    from information_schema.table_constraints</t>
  </si>
  <si>
    <t xml:space="preserve">    where constraint_name = 'agenda_operativa_paciente_fk'</t>
  </si>
  <si>
    <t xml:space="preserve">  ) then</t>
  </si>
  <si>
    <t xml:space="preserve">    alter table public.agenda_operativa</t>
  </si>
  <si>
    <t xml:space="preserve">    add constraint agenda_operativa_paciente_fk</t>
  </si>
  <si>
    <t xml:space="preserve">    foreign key (paciente_id)</t>
  </si>
  <si>
    <t xml:space="preserve">    references public.pacientes(id)</t>
  </si>
  <si>
    <t xml:space="preserve">    on delete restrict;</t>
  </si>
  <si>
    <t xml:space="preserve">  end if;</t>
  </si>
  <si>
    <t>end $$;</t>
  </si>
  <si>
    <t>create or replace function public.set_updated_at()</t>
  </si>
  <si>
    <t>returns trigger</t>
  </si>
  <si>
    <t>language plpgsql</t>
  </si>
  <si>
    <t>as $$</t>
  </si>
  <si>
    <t xml:space="preserve">  new.updated_at = now();</t>
  </si>
  <si>
    <t xml:space="preserve">  return new;</t>
  </si>
  <si>
    <t>end;</t>
  </si>
  <si>
    <t>$$;</t>
  </si>
  <si>
    <t>drop trigger if exists trg_agenda_operativa_updated_at on public.agenda_operativa;</t>
  </si>
  <si>
    <t>create trigger trg_agenda_operativa_updated_at</t>
  </si>
  <si>
    <t>before update on public.agenda_operativa</t>
  </si>
  <si>
    <t>for each row</t>
  </si>
  <si>
    <t>execute function public.set_updated_at();</t>
  </si>
  <si>
    <t>alter table public.agenda_operativa enable row level security;</t>
  </si>
  <si>
    <t>-- Regla principal:</t>
  </si>
  <si>
    <t>drop policy if exists "agenda_operativa_select_own" on public.agenda_operativa;</t>
  </si>
  <si>
    <t>drop policy if exists "agenda_operativa_insert_own" on public.agenda_operativa;</t>
  </si>
  <si>
    <t>drop policy if exists "agenda_operativa_update_own" on public.agenda_operativa;</t>
  </si>
  <si>
    <t>drop policy if exists "agenda_operativa_delete_own" on public.agenda_operativa;</t>
  </si>
  <si>
    <t>create policy "agenda_operativa_select_own"</t>
  </si>
  <si>
    <t>on public.agenda_operativa</t>
  </si>
  <si>
    <t>to authenticated</t>
  </si>
  <si>
    <t>using (</t>
  </si>
  <si>
    <t xml:space="preserve">  profesional_id = auth.uid()</t>
  </si>
  <si>
    <t>create policy "agenda_operativa_insert_own"</t>
  </si>
  <si>
    <t>with check (</t>
  </si>
  <si>
    <t>create policy "agenda_operativa_update_own"</t>
  </si>
  <si>
    <t>)</t>
  </si>
  <si>
    <t>create policy "agenda_operativa_delete_own"</t>
  </si>
  <si>
    <t>comment on table public.agenda_operativa is</t>
  </si>
  <si>
    <t>'Capa operativa que vincula eventos de Google Calendar con pacientes de Mentalia. No almacena contenido clínico.';</t>
  </si>
  <si>
    <t>comment on column public.agenda_operativa.google_calendar_event_id is</t>
  </si>
  <si>
    <t>'ID del evento en Google Calendar usado como referencia externa.';</t>
  </si>
  <si>
    <t>comment on column public.agenda_operativa.estado_operativo is</t>
  </si>
  <si>
    <t>'Estado administrativo-operativo de la atención: confirmada, reprogramada, cancelada, no presentada o realizada.';</t>
  </si>
  <si>
    <t>comment on column public.agenda_operativa.consentimiento_ia is</t>
  </si>
  <si>
    <t>'Estado explícito del consentimiento para uso de IA. No debe inferirse automáticamente.';</t>
  </si>
  <si>
    <t>dentro del proceso de reserva, tenemos al paciente que necesita reservar una hora de las que disponga el psicologo y para ello el paciente debe tener la posibilidad de tomar una hora disponible, tambien se debe considerar que esa hora reservada debe tomar un estado dentro del proceso</t>
  </si>
  <si>
    <t>rol:</t>
  </si>
  <si>
    <t>contexto:</t>
  </si>
  <si>
    <t>salida:</t>
  </si>
  <si>
    <t>entregame el flujo operativo para reservar por parte del paciente y los posibles estado que puede pasar una reserva de hora</t>
  </si>
  <si>
    <t>asume un rol de analista funcional de negocio, ten consideracion el informe final de magíster para analizar los datos relacioandos con el proceso de reserva de una hora</t>
  </si>
  <si>
    <t>1. Actores del proceso</t>
  </si>
  <si>
    <t>Actor</t>
  </si>
  <si>
    <t>Rol en el proceso</t>
  </si>
  <si>
    <t>Paciente</t>
  </si>
  <si>
    <t>Solicita y reserva una hora disponible.</t>
  </si>
  <si>
    <t>Psicólogo / profesional</t>
  </si>
  <si>
    <t>Define su disponibilidad y valida su agenda operativa.</t>
  </si>
  <si>
    <t>Mentalia / FluyePro</t>
  </si>
  <si>
    <t>Muestra disponibilidad, registra la reserva y gestiona estados operativos.</t>
  </si>
  <si>
    <t>Google Calendar</t>
  </si>
  <si>
    <t>Repositorio primario de agenda del profesional.</t>
  </si>
  <si>
    <t>Agente de Agenda</t>
  </si>
  <si>
    <t>Apoya coordinación administrativa, sin procesar contenido clínico.</t>
  </si>
  <si>
    <t>Flujo operativo de reserva de hora por parte del paciente</t>
  </si>
  <si>
    <t>Etapa 1: Disponibilidad definida por el profesional</t>
  </si>
  <si>
    <t>El psicólogo define previamente su disponibilidad en su calendario o mediante la capa operativa de Mentalia conectada a Google Calendar.</t>
  </si>
  <si>
    <t>Ejemplo:</t>
  </si>
  <si>
    <t>Lunes: 09:00 a 13:00</t>
  </si>
  <si>
    <t>Miércoles: 15:00 a 19:00</t>
  </si>
  <si>
    <t>Duración de atención: 45 o 60 minutos</t>
  </si>
  <si>
    <t>Bloques no disponibles: reuniones, vacaciones, feriados, atenciones ya tomadas</t>
  </si>
  <si>
    <t>Mentalia debe consultar Google Calendar y detectar los bloques disponibles.</t>
  </si>
  <si>
    <r>
      <t>Resultado funcional:</t>
    </r>
    <r>
      <rPr>
        <sz val="11"/>
        <color theme="1"/>
        <rFont val="Calibri"/>
        <family val="2"/>
        <scheme val="minor"/>
      </rPr>
      <t xml:space="preserve"> el sistema conoce qué horarios pueden ser ofrecidos al paciente.</t>
    </r>
  </si>
  <si>
    <t>Estado relacionado:</t>
  </si>
  <si>
    <t>Disponible</t>
  </si>
  <si>
    <t>Etapa 2: Paciente accede al módulo de reserva</t>
  </si>
  <si>
    <t>El paciente entra a una página o enlace de reserva del profesional.</t>
  </si>
  <si>
    <t>https://fluyepro.cl/reservar/psicologo-rodolfo</t>
  </si>
  <si>
    <t>o un enlace compartido por WhatsApp, email o sitio web.</t>
  </si>
  <si>
    <t>El paciente debería ver:</t>
  </si>
  <si>
    <t>Nombre del profesional</t>
  </si>
  <si>
    <t>Especialidad o descripción breve</t>
  </si>
  <si>
    <t>Días disponibles</t>
  </si>
  <si>
    <t>Horas disponibles</t>
  </si>
  <si>
    <t>Condiciones generales de reserva</t>
  </si>
  <si>
    <t>En esta etapa no se debe solicitar motivo clínico detallado. Como máximo, datos administrativos mínimos.</t>
  </si>
  <si>
    <t>Etapa 3: Paciente selecciona una hora disponible</t>
  </si>
  <si>
    <t>El paciente elige:</t>
  </si>
  <si>
    <t>Día</t>
  </si>
  <si>
    <t>Hora</t>
  </si>
  <si>
    <t>Tipo de atención, si aplica: online / presencial</t>
  </si>
  <si>
    <t>El sistema debe validar en tiempo real que esa hora siga disponible.</t>
  </si>
  <si>
    <t>Aquí hay una regla importante:</t>
  </si>
  <si>
    <t>Una hora solo puede ser tomada por un paciente si sigue libre en Google Calendar y no tiene una reserva operativa activa en Mentalia.</t>
  </si>
  <si>
    <r>
      <t>Resultado funcional:</t>
    </r>
    <r>
      <rPr>
        <sz val="11"/>
        <color theme="1"/>
        <rFont val="Calibri"/>
        <family val="2"/>
        <scheme val="minor"/>
      </rPr>
      <t xml:space="preserve"> el paciente selecciona una hora tentativa.</t>
    </r>
  </si>
  <si>
    <t>Estado sugerido:</t>
  </si>
  <si>
    <t>Seleccionada</t>
  </si>
  <si>
    <t>Este estado puede existir solo en la interfaz, no necesariamente persistido, porque todavía no hay reserva final.</t>
  </si>
  <si>
    <t>Etapa 4: Paciente ingresa datos mínimos</t>
  </si>
  <si>
    <t>El paciente completa datos administrativos:</t>
  </si>
  <si>
    <t>Nombre</t>
  </si>
  <si>
    <t>Apellido</t>
  </si>
  <si>
    <t>Correo</t>
  </si>
  <si>
    <t>Teléfono</t>
  </si>
  <si>
    <t>RUT o identificador, si aplica</t>
  </si>
  <si>
    <t>Aceptación de condiciones de reserva</t>
  </si>
  <si>
    <t>Opcionalmente:</t>
  </si>
  <si>
    <t>¿Es primera atención?</t>
  </si>
  <si>
    <t>Canal preferido de contacto</t>
  </si>
  <si>
    <t>No recomiendo pedir en esta etapa:</t>
  </si>
  <si>
    <t>Diagnóstico</t>
  </si>
  <si>
    <t>Motivo clínico detallado</t>
  </si>
  <si>
    <t>Antecedentes sensibles</t>
  </si>
  <si>
    <t>Historia clínica</t>
  </si>
  <si>
    <t>Eso debe quedar fuera del proceso de agenda inicial.</t>
  </si>
  <si>
    <t>Etapa 5: Confirmación de reserva</t>
  </si>
  <si>
    <t>El paciente confirma la hora.</t>
  </si>
  <si>
    <t>Al confirmar, Mentalia debe:</t>
  </si>
  <si>
    <t>1. Crear evento en Google Calendar del profesional.</t>
  </si>
  <si>
    <t>2. Crear o asociar paciente en Mentalia.</t>
  </si>
  <si>
    <t>3. Crear registro en agenda_operativa.</t>
  </si>
  <si>
    <t>4. Asignar estado inicial de la reserva.</t>
  </si>
  <si>
    <t>5. Enviar confirmación al paciente.</t>
  </si>
  <si>
    <t>6. Mostrar la reserva en la agenda del profesional.</t>
  </si>
  <si>
    <t>Título recomendado para Google Calendar:</t>
  </si>
  <si>
    <t>Atención Mentalia - Nombre Apellido</t>
  </si>
  <si>
    <t>o una versión más privada:</t>
  </si>
  <si>
    <t>Atención Mentalia - Iniciales</t>
  </si>
  <si>
    <t>En Google Calendar no se debe guardar información clínica.</t>
  </si>
  <si>
    <r>
      <t>Resultado funcional:</t>
    </r>
    <r>
      <rPr>
        <sz val="11"/>
        <color theme="1"/>
        <rFont val="Calibri"/>
        <family val="2"/>
        <scheme val="minor"/>
      </rPr>
      <t xml:space="preserve"> la hora queda formalmente reservada.</t>
    </r>
  </si>
  <si>
    <t>Estado recomendado:</t>
  </si>
  <si>
    <t>Reservada</t>
  </si>
  <si>
    <t>o:</t>
  </si>
  <si>
    <t>Pendiente de confirmación</t>
  </si>
  <si>
    <t>dependiendo del modelo de negocio.</t>
  </si>
  <si>
    <t>2. Estados posibles de una reserva de hora</t>
  </si>
  <si>
    <r>
      <t xml:space="preserve">Te propongo manejar los estados como un ciclo operativo. Estos estados deben quedar en la tabla </t>
    </r>
    <r>
      <rPr>
        <sz val="10"/>
        <color theme="1"/>
        <rFont val="Arial Unicode MS"/>
      </rPr>
      <t>agenda_operativa</t>
    </r>
    <r>
      <rPr>
        <sz val="11"/>
        <color theme="1"/>
        <rFont val="Calibri"/>
        <family val="2"/>
        <scheme val="minor"/>
      </rPr>
      <t>.</t>
    </r>
  </si>
  <si>
    <t>Estados principales</t>
  </si>
  <si>
    <t>Estado</t>
  </si>
  <si>
    <t>Descripción funcional</t>
  </si>
  <si>
    <t>Quién lo genera</t>
  </si>
  <si>
    <t>Bloque libre que puede ser reservado.</t>
  </si>
  <si>
    <t>Google Calendar / Mentalia</t>
  </si>
  <si>
    <t>El paciente eligió una hora, pero aún no confirma.</t>
  </si>
  <si>
    <t>Reserva creada, pero requiere validación del profesional o confirmación adicional.</t>
  </si>
  <si>
    <t>Mentalia</t>
  </si>
  <si>
    <t>Hora tomada por el paciente, pero aún no confirmada definitivamente.</t>
  </si>
  <si>
    <t>Paciente / Mentalia</t>
  </si>
  <si>
    <t>Confirmada</t>
  </si>
  <si>
    <t>La atención fue validada y queda lista para realizarse.</t>
  </si>
  <si>
    <t>Profesional / Sistema</t>
  </si>
  <si>
    <t>Reprogramada</t>
  </si>
  <si>
    <t>La hora original fue modificada por paciente o profesional.</t>
  </si>
  <si>
    <t>Paciente / Profesional</t>
  </si>
  <si>
    <t>Cancelada por paciente</t>
  </si>
  <si>
    <t>El paciente anuló la reserva.</t>
  </si>
  <si>
    <t>Cancelada por profesional</t>
  </si>
  <si>
    <t>El profesional anuló la reserva.</t>
  </si>
  <si>
    <t>Profesional</t>
  </si>
  <si>
    <t>No presentada</t>
  </si>
  <si>
    <t>El paciente no asistió a la hora agendada.</t>
  </si>
  <si>
    <t>Realizada</t>
  </si>
  <si>
    <t>La atención efectivamente se llevó a cabo.</t>
  </si>
  <si>
    <t>Cerrada operativamente</t>
  </si>
  <si>
    <t>El flujo terminó: atención realizada, cancelada o no presentada.</t>
  </si>
  <si>
    <t>3. Flujo de estados recomendado</t>
  </si>
  <si>
    <t>El flujo ideal sería:</t>
  </si>
  <si>
    <t xml:space="preserve">   ↓</t>
  </si>
  <si>
    <t>Pendiente de confirmación / Reservada</t>
  </si>
  <si>
    <t>Flujos alternativos:</t>
  </si>
  <si>
    <t>4. Estados mínimos para el MVP</t>
  </si>
  <si>
    <t>Para no complejizar demasiado, yo partiría con estos estados:</t>
  </si>
  <si>
    <t>disponible</t>
  </si>
  <si>
    <t>reservada</t>
  </si>
  <si>
    <t>confirmada</t>
  </si>
  <si>
    <t>reprogramada</t>
  </si>
  <si>
    <t>cancelada</t>
  </si>
  <si>
    <t>no_presentada</t>
  </si>
  <si>
    <t>realizada</t>
  </si>
  <si>
    <t>Y más adelante separar:</t>
  </si>
  <si>
    <t>cancelada_paciente</t>
  </si>
  <si>
    <t>cancelada_profesional</t>
  </si>
  <si>
    <t>pendiente_confirmacion</t>
  </si>
  <si>
    <t>cerrada_operativamente</t>
  </si>
  <si>
    <t>Para el MVP actual, el modelo mínimo podría ser:</t>
  </si>
  <si>
    <t>Estado MVP</t>
  </si>
  <si>
    <t>Uso</t>
  </si>
  <si>
    <t>Hora libre obtenida desde Google Calendar.</t>
  </si>
  <si>
    <t>Paciente tomó la hora.</t>
  </si>
  <si>
    <t>Profesional o sistema confirma la reserva.</t>
  </si>
  <si>
    <t>Se cambió la fecha u hora.</t>
  </si>
  <si>
    <t>Se anuló la reserva.</t>
  </si>
  <si>
    <t>Paciente no asistió.</t>
  </si>
  <si>
    <t>Atención ejecutada.</t>
  </si>
  <si>
    <t>5. Reglas funcionales importantes</t>
  </si>
  <si>
    <t>Regla 1: Google Calendar es la fuente primaria</t>
  </si>
  <si>
    <t>La disponibilidad debe salir del calendario del profesional.</t>
  </si>
  <si>
    <t>Si está ocupado en Google Calendar, no se ofrece al paciente.</t>
  </si>
  <si>
    <t>Si está libre dentro de la disponibilidad definida, puede ofrecerse.</t>
  </si>
  <si>
    <t>Regla 2: Mentalia guarda la capa operativa</t>
  </si>
  <si>
    <t>Mentalia no reemplaza el calendario. Mentalia guarda:</t>
  </si>
  <si>
    <t>paciente asociado</t>
  </si>
  <si>
    <t>estado operativo</t>
  </si>
  <si>
    <t>consentimiento</t>
  </si>
  <si>
    <t>origen de la reserva</t>
  </si>
  <si>
    <t>historial de cambios</t>
  </si>
  <si>
    <t>Regla 3: No procesar contenido clínico en reserva</t>
  </si>
  <si>
    <t>En la reserva no se debe pedir ni procesar información clínica sensible.</t>
  </si>
  <si>
    <t>Correcto:</t>
  </si>
  <si>
    <t>Nombre, correo, teléfono, tipo de atención</t>
  </si>
  <si>
    <t>Evitar:</t>
  </si>
  <si>
    <t>Diagnóstico, síntomas, motivo clínico extenso, historia clínica</t>
  </si>
  <si>
    <t>Regla 4: No habilitar IA automáticamente</t>
  </si>
  <si>
    <t>La reserva no implica consentimiento para IA.</t>
  </si>
  <si>
    <t>El estado inicial debería ser:</t>
  </si>
  <si>
    <t>consentimiento_ia = no_registrado</t>
  </si>
  <si>
    <t>Luego, antes de pre-sesión o documentación asistida, se debe pedir consentimiento explícito.</t>
  </si>
  <si>
    <r>
      <t xml:space="preserve">6. Propuesta de campos para </t>
    </r>
    <r>
      <rPr>
        <b/>
        <sz val="10"/>
        <color theme="1"/>
        <rFont val="Arial Unicode MS"/>
      </rPr>
      <t>agenda_operativa</t>
    </r>
  </si>
  <si>
    <t>La tabla que ya creamos puede evolucionar así:</t>
  </si>
  <si>
    <t>paciente_id</t>
  </si>
  <si>
    <t>google_calendar_event_id</t>
  </si>
  <si>
    <t>google_calendar_summary</t>
  </si>
  <si>
    <t>google_calendar_inicio</t>
  </si>
  <si>
    <t>google_calendar_fin</t>
  </si>
  <si>
    <t>estado_operativo</t>
  </si>
  <si>
    <t>consentimiento_ia</t>
  </si>
  <si>
    <t>origen</t>
  </si>
  <si>
    <t>canal_reserva</t>
  </si>
  <si>
    <t>fecha_reserva</t>
  </si>
  <si>
    <t>reservado_por</t>
  </si>
  <si>
    <t>observacion_administrativa</t>
  </si>
  <si>
    <t>created_at</t>
  </si>
  <si>
    <t>updated_at</t>
  </si>
  <si>
    <r>
      <t xml:space="preserve">Valores posibles para </t>
    </r>
    <r>
      <rPr>
        <sz val="10"/>
        <color theme="1"/>
        <rFont val="Arial Unicode MS"/>
      </rPr>
      <t>origen</t>
    </r>
    <r>
      <rPr>
        <sz val="11"/>
        <color theme="1"/>
        <rFont val="Calibri"/>
        <family val="2"/>
        <scheme val="minor"/>
      </rPr>
      <t>:</t>
    </r>
  </si>
  <si>
    <t>google_calendar</t>
  </si>
  <si>
    <t>mentalia_profesional</t>
  </si>
  <si>
    <t>portal_paciente</t>
  </si>
  <si>
    <t>agente_agenda</t>
  </si>
  <si>
    <r>
      <t xml:space="preserve">Valores posibles para </t>
    </r>
    <r>
      <rPr>
        <sz val="10"/>
        <color theme="1"/>
        <rFont val="Arial Unicode MS"/>
      </rPr>
      <t>canal_reserva</t>
    </r>
    <r>
      <rPr>
        <sz val="11"/>
        <color theme="1"/>
        <rFont val="Calibri"/>
        <family val="2"/>
        <scheme val="minor"/>
      </rPr>
      <t>:</t>
    </r>
  </si>
  <si>
    <t>web</t>
  </si>
  <si>
    <t>whatsapp</t>
  </si>
  <si>
    <t>manual_profesional</t>
  </si>
  <si>
    <t>7. Flujo funcional resumido para el paciente</t>
  </si>
  <si>
    <t>1. Paciente entra al enlace de reserva del profesional.</t>
  </si>
  <si>
    <t>2. Mentalia consulta disponibilidad desde Google Calendar.</t>
  </si>
  <si>
    <t>3. Paciente selecciona una hora disponible.</t>
  </si>
  <si>
    <t>4. Paciente ingresa datos mínimos.</t>
  </si>
  <si>
    <t>5. Paciente confirma la reserva.</t>
  </si>
  <si>
    <t>6. Mentalia crea evento en Google Calendar.</t>
  </si>
  <si>
    <t>7. Mentalia crea registro en agenda_operativa.</t>
  </si>
  <si>
    <t>8. Mentalia deja la reserva en estado reservada o confirmada.</t>
  </si>
  <si>
    <t>9. Paciente recibe confirmación.</t>
  </si>
  <si>
    <t>10. Profesional ve la reserva en su agenda.</t>
  </si>
  <si>
    <t>8. Recomendación funcional para Mentalia / FluyePro</t>
  </si>
  <si>
    <t>Para el MVP, yo dejaría este criterio:</t>
  </si>
  <si>
    <t>Cuando el paciente reserva una hora, la reserva queda en estado “reservada”.</t>
  </si>
  <si>
    <t>Cuando el profesional la revisa o el sistema valida que no hay conflicto, pasa a “confirmada”.</t>
  </si>
  <si>
    <t>Pero si quieres un flujo más simple:</t>
  </si>
  <si>
    <t>Paciente reserva hora disponible → queda inmediatamente “confirmada”.</t>
  </si>
  <si>
    <t>Mi recomendación para el MVP sería esta segunda opción:</t>
  </si>
  <si>
    <t>Disponible → Confirmada</t>
  </si>
  <si>
    <t>ALTER TABLE public.disponibilidad_profesional</t>
  </si>
  <si>
    <t>ADD COLUMN IF NOT EXISTS origen text;</t>
  </si>
  <si>
    <t>-- Así no se mezclarán con la nueva disponibilidad basada en Google Calendar.</t>
  </si>
  <si>
    <t>UPDATE public.disponibilidad_profesional</t>
  </si>
  <si>
    <t>SET origen = 'mentalia'</t>
  </si>
  <si>
    <t>WHERE origen IS NULL;</t>
  </si>
  <si>
    <t>ALTER COLUMN origen SET DEFAULT 'mentalia';</t>
  </si>
  <si>
    <t>ALTER COLUMN origen SET NOT NULL;</t>
  </si>
  <si>
    <t>DO $$</t>
  </si>
  <si>
    <t>BEGIN</t>
  </si>
  <si>
    <t xml:space="preserve">  IF NOT EXISTS (</t>
  </si>
  <si>
    <t xml:space="preserve">    SELECT 1</t>
  </si>
  <si>
    <t xml:space="preserve">    FROM pg_constraint</t>
  </si>
  <si>
    <t xml:space="preserve">    WHERE conname = 'disponibilidad_profesional_origen_chk'</t>
  </si>
  <si>
    <t xml:space="preserve">  ) THEN</t>
  </si>
  <si>
    <t xml:space="preserve">    ALTER TABLE public.disponibilidad_profesional</t>
  </si>
  <si>
    <t xml:space="preserve">    ADD CONSTRAINT disponibilidad_profesional_origen_chk</t>
  </si>
  <si>
    <t xml:space="preserve">    CHECK (origen IN ('mentalia', 'google_calendar', 'portal_paciente', 'agente_agenda'));</t>
  </si>
  <si>
    <t xml:space="preserve">  END IF;</t>
  </si>
  <si>
    <t>END $$;</t>
  </si>
  <si>
    <t>CREATE INDEX IF NOT EXISTS disponibilidad_profesional_origen_idx</t>
  </si>
  <si>
    <t>ON public.disponibilidad_profesional (profesional_id, origen, activo, dia_semana);</t>
  </si>
  <si>
    <t>SELECT</t>
  </si>
  <si>
    <t xml:space="preserve">  id,</t>
  </si>
  <si>
    <t xml:space="preserve">  profesional_id,</t>
  </si>
  <si>
    <t xml:space="preserve">  dia_semana,</t>
  </si>
  <si>
    <t xml:space="preserve">  hora_inicio,</t>
  </si>
  <si>
    <t xml:space="preserve">  hora_fin,</t>
  </si>
  <si>
    <t xml:space="preserve">  duracion_minutos,</t>
  </si>
  <si>
    <t xml:space="preserve">  fecha_inicio,</t>
  </si>
  <si>
    <t xml:space="preserve">  fecha_fin,</t>
  </si>
  <si>
    <t xml:space="preserve">  activo,</t>
  </si>
  <si>
    <t xml:space="preserve">  origen,</t>
  </si>
  <si>
    <t xml:space="preserve">  fecha_crea</t>
  </si>
  <si>
    <t>FROM public.disponibilidad_profesional</t>
  </si>
  <si>
    <t>ORDER BY fecha_crea DESC;</t>
  </si>
  <si>
    <t>-- Etapa 2: Reserva pública por slug profesional</t>
  </si>
  <si>
    <t>-- 1) Campos públicos mínimos del profesional</t>
  </si>
  <si>
    <t>alter table public.profesional</t>
  </si>
  <si>
    <t>add column if not exists slug_publico text,</t>
  </si>
  <si>
    <t>add column if not exists reserva_publica_activa boolean not null default false,</t>
  </si>
  <si>
    <t>add column if not exists modalidad_atencion text not null default 'online',</t>
  </si>
  <si>
    <t>add column if not exists duracion_sesion_minutos integer not null default 50,</t>
  </si>
  <si>
    <t>add column if not exists especialidad_publica text,</t>
  </si>
  <si>
    <t>add column if not exists descripcion_publica text,</t>
  </si>
  <si>
    <t>add column if not exists condiciones_reserva text;</t>
  </si>
  <si>
    <t>-- 2) Slug único, solo cuando exista</t>
  </si>
  <si>
    <t>create unique index if not exists profesional_slug_publico_idx</t>
  </si>
  <si>
    <t>on public.profesional (slug_publico)</t>
  </si>
  <si>
    <t>where slug_publico is not null;</t>
  </si>
  <si>
    <t>-- 3) Asegurar origen en disponibilidad para separar reglas nuevas Google Calendar de reglas históricas Mentalia</t>
  </si>
  <si>
    <t>alter table public.disponibilidad_profesional</t>
  </si>
  <si>
    <t>add column if not exists origen text not null default 'mentalia';</t>
  </si>
  <si>
    <t>create index if not exists disponibilidad_profesional_publica_idx</t>
  </si>
  <si>
    <t>on public.disponibilidad_profesional (profesional_id, origen, activo, dia_semana);</t>
  </si>
  <si>
    <t>-- 4) Perfil público seguro para reserva.</t>
  </si>
  <si>
    <t>-- No expone email, teléfono ni datos internos sensibles.</t>
  </si>
  <si>
    <t>create or replace view public.v_profesionales_reserva_publica as</t>
  </si>
  <si>
    <t>select</t>
  </si>
  <si>
    <t xml:space="preserve">  nombres,</t>
  </si>
  <si>
    <t xml:space="preserve">  apellidos,</t>
  </si>
  <si>
    <t xml:space="preserve">  profesion,</t>
  </si>
  <si>
    <t xml:space="preserve">  especialidad_publica,</t>
  </si>
  <si>
    <t xml:space="preserve">  slug_publico,</t>
  </si>
  <si>
    <t xml:space="preserve">  reserva_publica_activa,</t>
  </si>
  <si>
    <t xml:space="preserve">  modalidad_atencion,</t>
  </si>
  <si>
    <t xml:space="preserve">  duracion_sesion_minutos,</t>
  </si>
  <si>
    <t xml:space="preserve">  descripcion_publica,</t>
  </si>
  <si>
    <t xml:space="preserve">  condiciones_reserva</t>
  </si>
  <si>
    <t>from public.profesional</t>
  </si>
  <si>
    <t>where reserva_publica_activa = true</t>
  </si>
  <si>
    <t xml:space="preserve">  and slug_publico is not null;</t>
  </si>
  <si>
    <t>-- 5) Disponibilidad pública configurada por el profesional.</t>
  </si>
  <si>
    <t>create or replace view public.v_disponibilidad_reserva_publica as</t>
  </si>
  <si>
    <t xml:space="preserve">  origen</t>
  </si>
  <si>
    <t>from public.disponibilidad_profesional</t>
  </si>
  <si>
    <t>where activo = true</t>
  </si>
  <si>
    <t xml:space="preserve">  and origen = 'google_calendar';</t>
  </si>
  <si>
    <t>-- 6) Ocupación pública mínima para bloquear horarios ya reservados.</t>
  </si>
  <si>
    <t>-- No expone paciente_id ni datos personales.</t>
  </si>
  <si>
    <t>create or replace view public.v_reservas_ocupadas_publicas as</t>
  </si>
  <si>
    <t xml:space="preserve">  fecha,</t>
  </si>
  <si>
    <t xml:space="preserve">  estado</t>
  </si>
  <si>
    <t>from public.citas</t>
  </si>
  <si>
    <t>where estado in ('reservada', 'confirmada', 'reprogramada', 'realizada');</t>
  </si>
  <si>
    <t>-- 7) Permisos de lectura pública sobre vistas seguras.</t>
  </si>
  <si>
    <t>grant select on public.v_profesionales_reserva_publica to anon, authenticated;</t>
  </si>
  <si>
    <t>grant select on public.v_disponibilidad_reserva_publica to anon, authenticated;</t>
  </si>
  <si>
    <t>grant select on public.v_reservas_ocupadas_publicas to anon, authenticated;</t>
  </si>
  <si>
    <t>-- 8) Datos de prueba para Rodolfo Escobar.</t>
  </si>
  <si>
    <t>-- Ajustar descripción/condiciones si quieres otro texto comercial.</t>
  </si>
  <si>
    <t>update public.profesional</t>
  </si>
  <si>
    <t>set</t>
  </si>
  <si>
    <t xml:space="preserve">  slug_publico = 'rodolfo-escobar',</t>
  </si>
  <si>
    <t xml:space="preserve">  reserva_publica_activa = true,</t>
  </si>
  <si>
    <t xml:space="preserve">  modalidad_atencion = 'online',</t>
  </si>
  <si>
    <t xml:space="preserve">  duracion_sesion_minutos = 50,</t>
  </si>
  <si>
    <t xml:space="preserve">  especialidad_publica = coalesce(especialidad_publica, 'Psicología clínica'),</t>
  </si>
  <si>
    <t xml:space="preserve">  descripcion_publica = coalesce(</t>
  </si>
  <si>
    <t xml:space="preserve">    descripcion_publica,</t>
  </si>
  <si>
    <t xml:space="preserve">    'Reserva tu hora de atención de manera simple y segura. Selecciona un horario disponible y completa tus datos administrativos mínimos.'</t>
  </si>
  <si>
    <t xml:space="preserve">  ),</t>
  </si>
  <si>
    <t xml:space="preserve">  condiciones_reserva = coalesce(</t>
  </si>
  <si>
    <t xml:space="preserve">    condiciones_reserva,</t>
  </si>
  <si>
    <t xml:space="preserve">    'La reserva está sujeta a confirmación operativa del profesional. Esta página no solicita antecedentes clínicos ni diagnósticos.'</t>
  </si>
  <si>
    <t xml:space="preserve">  )</t>
  </si>
  <si>
    <t>where id = '82e91499-f13f-4865-ab1a-1c2809827266';</t>
  </si>
  <si>
    <r>
      <t>grant</t>
    </r>
    <r>
      <rPr>
        <sz val="10"/>
        <color rgb="FF444444"/>
        <rFont val="Consolas"/>
        <family val="3"/>
      </rPr>
      <t xml:space="preserve"> usage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schema public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</si>
  <si>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v_profesionales_reserva_publica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</si>
  <si>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v_disponibilidad_reserva_publica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</si>
  <si>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v_reservas_ocupadas_publicas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</si>
  <si>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usage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schema public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</si>
  <si>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usage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schema public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</si>
  <si>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v_profesionales_reserva_publica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</si>
  <si>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v_profesionales_reserva_publica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</si>
  <si>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v_disponibilidad_reserva_publica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</si>
  <si>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v_disponibilidad_reserva_publica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</si>
  <si>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v_reservas_ocupadas_publicas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</si>
  <si>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v_reservas_ocupadas_publicas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</si>
  <si>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t>Citas publicas</t>
  </si>
  <si>
    <t>alter table public.citas</t>
  </si>
  <si>
    <t>add column if not exists origen text;</t>
  </si>
  <si>
    <t>add column if not exists canal_contacto text;</t>
  </si>
  <si>
    <t>add column if not exists primera_atencion text;</t>
  </si>
  <si>
    <t>create index if not exists citas_profesional_fecha_idx</t>
  </si>
  <si>
    <t>on public.citas (profesional_id, fecha);</t>
  </si>
  <si>
    <t>create or replace function public.reservar_hora_publica(</t>
  </si>
  <si>
    <t xml:space="preserve">  p_slug_publico text,</t>
  </si>
  <si>
    <t xml:space="preserve">  p_fecha date,</t>
  </si>
  <si>
    <t xml:space="preserve">  p_hora_inicio time,</t>
  </si>
  <si>
    <t xml:space="preserve">  p_hora_fin time,</t>
  </si>
  <si>
    <t xml:space="preserve">  p_nombres text,</t>
  </si>
  <si>
    <t xml:space="preserve">  p_apellidos text,</t>
  </si>
  <si>
    <t xml:space="preserve">  p_email text,</t>
  </si>
  <si>
    <t xml:space="preserve">  p_telefono text,</t>
  </si>
  <si>
    <t xml:space="preserve">  p_identificador text default null,</t>
  </si>
  <si>
    <t xml:space="preserve">  p_primera_atencion text default null,</t>
  </si>
  <si>
    <t xml:space="preserve">  p_canal_contacto text default null</t>
  </si>
  <si>
    <t>returns table (</t>
  </si>
  <si>
    <t xml:space="preserve">  cita_id uuid,</t>
  </si>
  <si>
    <t xml:space="preserve">  paciente_id uuid,</t>
  </si>
  <si>
    <t xml:space="preserve">  estado text,</t>
  </si>
  <si>
    <t xml:space="preserve">  mensaje text</t>
  </si>
  <si>
    <t>security definer</t>
  </si>
  <si>
    <t>set search_path = public</t>
  </si>
  <si>
    <t>declare</t>
  </si>
  <si>
    <t xml:space="preserve">  v_profesional_id uuid;</t>
  </si>
  <si>
    <t xml:space="preserve">  v_paciente_id uuid;</t>
  </si>
  <si>
    <t xml:space="preserve">  v_cita_id uuid;</t>
  </si>
  <si>
    <t xml:space="preserve">  v_dia_semana int;</t>
  </si>
  <si>
    <t xml:space="preserve">  v_email text;</t>
  </si>
  <si>
    <t xml:space="preserve">  v_identificador text;</t>
  </si>
  <si>
    <t xml:space="preserve">  v_existe_disponibilidad boolean;</t>
  </si>
  <si>
    <t xml:space="preserve">  v_existe_choque boolean;</t>
  </si>
  <si>
    <t xml:space="preserve">  v_email := lower(trim(coalesce(p_email, '')));</t>
  </si>
  <si>
    <t xml:space="preserve">  v_identificador := nullif(trim(coalesce(p_identificador, '')), '');</t>
  </si>
  <si>
    <t xml:space="preserve">  if nullif(trim(coalesce(p_slug_publico, '')), '') is null then</t>
  </si>
  <si>
    <t xml:space="preserve">    raise exception 'No se indicó el enlace público del profesional.';</t>
  </si>
  <si>
    <t xml:space="preserve">  if p_fecha is null or p_hora_inicio is null or p_hora_fin is null then</t>
  </si>
  <si>
    <t xml:space="preserve">    raise exception 'Debes seleccionar fecha y horario.';</t>
  </si>
  <si>
    <t xml:space="preserve">  if p_hora_fin &lt;= p_hora_inicio then</t>
  </si>
  <si>
    <t xml:space="preserve">    raise exception 'El horario seleccionado no es válido.';</t>
  </si>
  <si>
    <t xml:space="preserve">  if nullif(trim(coalesce(p_nombres, '')), '') is null then</t>
  </si>
  <si>
    <t xml:space="preserve">    raise exception 'Debes ingresar nombre.';</t>
  </si>
  <si>
    <t xml:space="preserve">  if nullif(trim(coalesce(p_apellidos, '')), '') is null then</t>
  </si>
  <si>
    <t xml:space="preserve">    raise exception 'Debes ingresar apellido.';</t>
  </si>
  <si>
    <t xml:space="preserve">  if v_email = '' then</t>
  </si>
  <si>
    <t xml:space="preserve">    raise exception 'Debes ingresar correo electrónico.';</t>
  </si>
  <si>
    <t xml:space="preserve">  if nullif(trim(coalesce(p_telefono, '')), '') is null then</t>
  </si>
  <si>
    <t xml:space="preserve">    raise exception 'Debes ingresar teléfono.';</t>
  </si>
  <si>
    <t xml:space="preserve">  select p.id</t>
  </si>
  <si>
    <t xml:space="preserve">  into v_profesional_id</t>
  </si>
  <si>
    <t xml:space="preserve">  from public.profesional p</t>
  </si>
  <si>
    <t xml:space="preserve">  where p.slug_publico = lower(trim(p_slug_publico))</t>
  </si>
  <si>
    <t xml:space="preserve">    and p.reserva_publica_activa = true</t>
  </si>
  <si>
    <t xml:space="preserve">  limit 1;</t>
  </si>
  <si>
    <t xml:space="preserve">  if v_profesional_id is null then</t>
  </si>
  <si>
    <t xml:space="preserve">    raise exception 'No encontramos una agenda pública activa para este profesional.';</t>
  </si>
  <si>
    <t xml:space="preserve">  v_dia_semana := extract(isodow from p_fecha)::int;</t>
  </si>
  <si>
    <t xml:space="preserve">  select exists (</t>
  </si>
  <si>
    <t xml:space="preserve">    from public.disponibilidad_profesional d</t>
  </si>
  <si>
    <t xml:space="preserve">    where d.profesional_id = v_profesional_id</t>
  </si>
  <si>
    <t xml:space="preserve">      and d.activo = true</t>
  </si>
  <si>
    <t xml:space="preserve">      and coalesce(d.origen, 'mentalia') = 'google_calendar'</t>
  </si>
  <si>
    <t xml:space="preserve">      and d.dia_semana = v_dia_semana</t>
  </si>
  <si>
    <t xml:space="preserve">      and (d.fecha_inicio is null or p_fecha &gt;= d.fecha_inicio)</t>
  </si>
  <si>
    <t xml:space="preserve">      and (d.fecha_fin is null or p_fecha &lt;= d.fecha_fin)</t>
  </si>
  <si>
    <t xml:space="preserve">      and p_hora_inicio &gt;= d.hora_inicio</t>
  </si>
  <si>
    <t xml:space="preserve">      and p_hora_fin &lt;= d.hora_fin</t>
  </si>
  <si>
    <t xml:space="preserve">    limit 1</t>
  </si>
  <si>
    <t xml:space="preserve">  ) into v_existe_disponibilidad;</t>
  </si>
  <si>
    <t xml:space="preserve">  if not v_existe_disponibilidad then</t>
  </si>
  <si>
    <t xml:space="preserve">    raise exception 'El horario seleccionado ya no está disponible.';</t>
  </si>
  <si>
    <t xml:space="preserve">    from public.citas c</t>
  </si>
  <si>
    <t xml:space="preserve">    where c.profesional_id = v_profesional_id</t>
  </si>
  <si>
    <t xml:space="preserve">      and c.fecha = p_fecha</t>
  </si>
  <si>
    <t xml:space="preserve">      and coalesce(c.estado, '') not in (</t>
  </si>
  <si>
    <t xml:space="preserve">        'cancelada_paciente',</t>
  </si>
  <si>
    <t xml:space="preserve">        'cancelada_profesional'</t>
  </si>
  <si>
    <t xml:space="preserve">      and p_hora_inicio &lt; c.hora_fin</t>
  </si>
  <si>
    <t xml:space="preserve">      and p_hora_fin &gt; c.hora_inicio</t>
  </si>
  <si>
    <t xml:space="preserve">  ) into v_existe_choque;</t>
  </si>
  <si>
    <t xml:space="preserve">  if v_existe_choque then</t>
  </si>
  <si>
    <t xml:space="preserve">    raise exception 'Ese horario acaba de ser reservado. Selecciona otro horario.';</t>
  </si>
  <si>
    <t xml:space="preserve">  select pa.id</t>
  </si>
  <si>
    <t xml:space="preserve">  into v_paciente_id</t>
  </si>
  <si>
    <t xml:space="preserve">  from public.pacientes pa</t>
  </si>
  <si>
    <t xml:space="preserve">  where pa.profesional_id = v_profesional_id</t>
  </si>
  <si>
    <t xml:space="preserve">    and (</t>
  </si>
  <si>
    <t xml:space="preserve">      (v_identificador is not null and pa.identificador = v_identificador)</t>
  </si>
  <si>
    <t xml:space="preserve">      or lower(coalesce(pa.email, '')) = v_email</t>
  </si>
  <si>
    <t xml:space="preserve">  if v_paciente_id is null then</t>
  </si>
  <si>
    <t xml:space="preserve">    insert into public.pacientes (</t>
  </si>
  <si>
    <t xml:space="preserve">      profesional_id,</t>
  </si>
  <si>
    <t xml:space="preserve">      nombres,</t>
  </si>
  <si>
    <t xml:space="preserve">      apellidos,</t>
  </si>
  <si>
    <t xml:space="preserve">      identificador,</t>
  </si>
  <si>
    <t xml:space="preserve">      email,</t>
  </si>
  <si>
    <t xml:space="preserve">      telefono</t>
  </si>
  <si>
    <t xml:space="preserve">    ) values (</t>
  </si>
  <si>
    <t xml:space="preserve">      v_profesional_id,</t>
  </si>
  <si>
    <t xml:space="preserve">      trim(p_nombres),</t>
  </si>
  <si>
    <t xml:space="preserve">      trim(p_apellidos),</t>
  </si>
  <si>
    <t xml:space="preserve">      v_identificador,</t>
  </si>
  <si>
    <t xml:space="preserve">      v_email,</t>
  </si>
  <si>
    <t xml:space="preserve">      trim(p_telefono)</t>
  </si>
  <si>
    <t xml:space="preserve">    returning id into v_paciente_id;</t>
  </si>
  <si>
    <t xml:space="preserve">  else</t>
  </si>
  <si>
    <t xml:space="preserve">    update public.pacientes</t>
  </si>
  <si>
    <t xml:space="preserve">    set</t>
  </si>
  <si>
    <t xml:space="preserve">      nombres = trim(p_nombres),</t>
  </si>
  <si>
    <t xml:space="preserve">      apellidos = trim(p_apellidos),</t>
  </si>
  <si>
    <t xml:space="preserve">      identificador = coalesce(v_identificador, identificador),</t>
  </si>
  <si>
    <t xml:space="preserve">      email = v_email,</t>
  </si>
  <si>
    <t xml:space="preserve">      telefono = trim(p_telefono)</t>
  </si>
  <si>
    <t xml:space="preserve">    where id = v_paciente_id;</t>
  </si>
  <si>
    <t xml:space="preserve">  insert into public.citas (</t>
  </si>
  <si>
    <t xml:space="preserve">    profesional_id,</t>
  </si>
  <si>
    <t xml:space="preserve">    paciente_id,</t>
  </si>
  <si>
    <t xml:space="preserve">    fecha,</t>
  </si>
  <si>
    <t xml:space="preserve">    hora_inicio,</t>
  </si>
  <si>
    <t xml:space="preserve">    hora_fin,</t>
  </si>
  <si>
    <t xml:space="preserve">    estado,</t>
  </si>
  <si>
    <t xml:space="preserve">    origen,</t>
  </si>
  <si>
    <t xml:space="preserve">    canal_contacto,</t>
  </si>
  <si>
    <t xml:space="preserve">    primera_atencion</t>
  </si>
  <si>
    <t xml:space="preserve">  ) values (</t>
  </si>
  <si>
    <t xml:space="preserve">    v_profesional_id,</t>
  </si>
  <si>
    <t xml:space="preserve">    v_paciente_id,</t>
  </si>
  <si>
    <t xml:space="preserve">    p_fecha,</t>
  </si>
  <si>
    <t xml:space="preserve">    p_hora_inicio,</t>
  </si>
  <si>
    <t xml:space="preserve">    p_hora_fin,</t>
  </si>
  <si>
    <t xml:space="preserve">    'reservada',</t>
  </si>
  <si>
    <t xml:space="preserve">    'reserva_publica',</t>
  </si>
  <si>
    <t xml:space="preserve">    nullif(trim(coalesce(p_canal_contacto, '')), ''),</t>
  </si>
  <si>
    <t xml:space="preserve">    nullif(trim(coalesce(p_primera_atencion, '')), '')</t>
  </si>
  <si>
    <t xml:space="preserve">  returning id into v_cita_id;</t>
  </si>
  <si>
    <t xml:space="preserve">  return query</t>
  </si>
  <si>
    <t xml:space="preserve">  select</t>
  </si>
  <si>
    <t xml:space="preserve">    v_cita_id,</t>
  </si>
  <si>
    <t xml:space="preserve">    'reservada'::text,</t>
  </si>
  <si>
    <t xml:space="preserve">    'Hora reservada correctamente. La reserva quedó sujeta a confirmación operativa del profesional.'::text;</t>
  </si>
  <si>
    <t>grant execute on function public.reservar_hora_publica(</t>
  </si>
  <si>
    <t xml:space="preserve">  text,</t>
  </si>
  <si>
    <t xml:space="preserve">  date,</t>
  </si>
  <si>
    <t xml:space="preserve">  time,</t>
  </si>
  <si>
    <t xml:space="preserve">  text</t>
  </si>
  <si>
    <t>) to anon, authenticated;</t>
  </si>
  <si>
    <t>-- RPC pública controlada: buscar paciente por RUT/identificador</t>
  </si>
  <si>
    <t>--   administrativos si el paciente ya existe para ese profesional.</t>
  </si>
  <si>
    <t>--   No retorna contenido clínico.</t>
  </si>
  <si>
    <t>create or replace function public.buscar_paciente_publico_por_rut(</t>
  </si>
  <si>
    <t xml:space="preserve">  p_identificador text</t>
  </si>
  <si>
    <t xml:space="preserve">  identificador text,</t>
  </si>
  <si>
    <t xml:space="preserve">  nombres text,</t>
  </si>
  <si>
    <t xml:space="preserve">  apellidos text,</t>
  </si>
  <si>
    <t xml:space="preserve">  email text,</t>
  </si>
  <si>
    <t xml:space="preserve">  telefono text</t>
  </si>
  <si>
    <t xml:space="preserve">  v_rut_normalizado text;</t>
  </si>
  <si>
    <t xml:space="preserve">  v_rut_normalizado := regexp_replace(upper(coalesce(p_identificador, '')), '[^0-9K]', '', 'g');</t>
  </si>
  <si>
    <t xml:space="preserve">  if length(v_rut_normalizado) &lt; 2 then</t>
  </si>
  <si>
    <t xml:space="preserve">    raise exception 'Debes ingresar un RUT o identificador válido.';</t>
  </si>
  <si>
    <t xml:space="preserve">    pa.identificador,</t>
  </si>
  <si>
    <t xml:space="preserve">    pa.nombres,</t>
  </si>
  <si>
    <t xml:space="preserve">    pa.apellidos,</t>
  </si>
  <si>
    <t xml:space="preserve">    pa.email,</t>
  </si>
  <si>
    <t xml:space="preserve">    pa.telefono</t>
  </si>
  <si>
    <t xml:space="preserve">    and regexp_replace(upper(coalesce(pa.identificador, '')), '[^0-9K]', '', 'g') = v_rut_normalizado</t>
  </si>
  <si>
    <t>grant execute on function public.buscar_paciente_publico_por_rut(text, text) to anon, authenticated;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</si>
</sst>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  <font>
      <sz val="7"/>
      <color rgb="FF098658"/>
      <name val="Consolas"/>
      <family val="3"/>
    </font>
    <font>
      <sz val="7"/>
      <color rgb="FF24B47E"/>
      <name val="Consolas"/>
      <family val="3"/>
    </font>
    <font>
      <sz val="11"/>
      <color rgb="FF44444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03036"/>
      <name val="Calibri"/>
      <family val="2"/>
      <scheme val="minor"/>
    </font>
    <font>
      <sz val="7"/>
      <color rgb="FF444746"/>
      <name val="Arial"/>
      <family val="2"/>
    </font>
    <font>
      <sz val="10"/>
      <color rgb="FF444444"/>
      <name val="Consolas"/>
      <family val="3"/>
    </font>
    <font>
      <sz val="10"/>
      <color rgb="FF0000FF"/>
      <name val="Consolas"/>
      <family val="3"/>
    </font>
    <font>
      <sz val="10"/>
      <color rgb="FF000000"/>
      <name val="Consolas"/>
      <family val="3"/>
    </font>
    <font>
      <u/>
      <sz val="11"/>
      <color theme="1"/>
      <name val="Calibri"/>
      <family val="2"/>
      <scheme val="minor"/>
    </font>
    <font>
      <sz val="10"/>
      <color rgb="FF24B47E"/>
      <name val="Consolas"/>
      <family val="3"/>
    </font>
    <font>
      <u/>
      <sz val="10"/>
      <color rgb="FF444444"/>
      <name val="Consolas"/>
      <family val="3"/>
    </font>
    <font>
      <u/>
      <sz val="10"/>
      <color rgb="FF0000FF"/>
      <name val="Consolas"/>
      <family val="3"/>
    </font>
    <font>
      <u/>
      <sz val="10"/>
      <color rgb="FF24B47E"/>
      <name val="Consolas"/>
      <family val="3"/>
    </font>
    <font>
      <u/>
      <sz val="10"/>
      <color rgb="FF000000"/>
      <name val="Consolas"/>
      <family val="3"/>
    </font>
    <font>
      <sz val="10"/>
      <color rgb="FF778899"/>
      <name val="Consolas"/>
      <family val="3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0" fillId="0" borderId="0" xfId="0" quotePrefix="1"/>
    <xf numFmtId="0" fontId="9" fillId="0" borderId="0" xfId="0" applyFont="1" applyAlignment="1">
      <alignment vertical="center"/>
    </xf>
    <xf numFmtId="0" fontId="10" fillId="0" borderId="0" xfId="1"/>
    <xf numFmtId="0" fontId="11" fillId="0" borderId="0" xfId="0" applyFont="1" applyAlignment="1">
      <alignment horizontal="right" vertical="center" wrapText="1"/>
    </xf>
    <xf numFmtId="0" fontId="0" fillId="0" borderId="0" xfId="0" applyAlignment="1">
      <alignment vertical="top"/>
    </xf>
    <xf numFmtId="0" fontId="10" fillId="0" borderId="0" xfId="1" applyAlignment="1">
      <alignment vertical="top"/>
    </xf>
    <xf numFmtId="0" fontId="11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14" fontId="0" fillId="0" borderId="0" xfId="0" applyNumberFormat="1"/>
    <xf numFmtId="0" fontId="12" fillId="0" borderId="0" xfId="0" applyFont="1"/>
    <xf numFmtId="0" fontId="13" fillId="0" borderId="0" xfId="0" applyFont="1" applyAlignment="1">
      <alignment vertical="center"/>
    </xf>
    <xf numFmtId="0" fontId="16" fillId="0" borderId="0" xfId="0" applyFont="1"/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rescobark@hotmail.com" TargetMode="External"/><Relationship Id="rId13" Type="http://schemas.openxmlformats.org/officeDocument/2006/relationships/hyperlink" Target="mailto:mentalia201@gmail.com" TargetMode="External"/><Relationship Id="rId3" Type="http://schemas.openxmlformats.org/officeDocument/2006/relationships/hyperlink" Target="mailto:rodolfo.escobar@gmail.com" TargetMode="External"/><Relationship Id="rId7" Type="http://schemas.openxmlformats.org/officeDocument/2006/relationships/hyperlink" Target="mailto:rodolfo.escobar@gmail.com" TargetMode="External"/><Relationship Id="rId12" Type="http://schemas.openxmlformats.org/officeDocument/2006/relationships/hyperlink" Target="mailto:mentalia200@gmail.com" TargetMode="External"/><Relationship Id="rId2" Type="http://schemas.openxmlformats.org/officeDocument/2006/relationships/hyperlink" Target="mailto:rescobark@hotmail.com" TargetMode="External"/><Relationship Id="rId1" Type="http://schemas.openxmlformats.org/officeDocument/2006/relationships/hyperlink" Target="mailto:mentalia200@gmail.com" TargetMode="External"/><Relationship Id="rId6" Type="http://schemas.openxmlformats.org/officeDocument/2006/relationships/hyperlink" Target="mailto:rescobark@hotmail.com" TargetMode="External"/><Relationship Id="rId11" Type="http://schemas.openxmlformats.org/officeDocument/2006/relationships/hyperlink" Target="mailto:rodolfo.escobar@gmail.com" TargetMode="External"/><Relationship Id="rId5" Type="http://schemas.openxmlformats.org/officeDocument/2006/relationships/hyperlink" Target="mailto:rodolfo.escobar@gmail.com" TargetMode="External"/><Relationship Id="rId10" Type="http://schemas.openxmlformats.org/officeDocument/2006/relationships/hyperlink" Target="mailto:rescobark@hotmail.com" TargetMode="External"/><Relationship Id="rId4" Type="http://schemas.openxmlformats.org/officeDocument/2006/relationships/hyperlink" Target="mailto:rescobark@hotmail.com" TargetMode="External"/><Relationship Id="rId9" Type="http://schemas.openxmlformats.org/officeDocument/2006/relationships/hyperlink" Target="mailto:rodolfo.escob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62"/>
  <sheetViews>
    <sheetView topLeftCell="A16" workbookViewId="0">
      <selection activeCell="J46" sqref="J46:J63"/>
    </sheetView>
  </sheetViews>
  <sheetFormatPr baseColWidth="10" defaultColWidth="8.7109375" defaultRowHeight="15"/>
  <cols>
    <col min="3" max="3" width="22.28515625" customWidth="1"/>
    <col min="4" max="4" width="15.42578125" customWidth="1"/>
    <col min="5" max="5" width="17.85546875" bestFit="1" customWidth="1"/>
    <col min="6" max="6" width="20.85546875" customWidth="1"/>
    <col min="7" max="7" width="56.140625" bestFit="1" customWidth="1"/>
    <col min="10" max="10" width="11.28515625" bestFit="1" customWidth="1"/>
    <col min="11" max="11" width="16.28515625" customWidth="1"/>
    <col min="12" max="12" width="9.28515625" bestFit="1" customWidth="1"/>
    <col min="13" max="13" width="18.140625" customWidth="1"/>
  </cols>
  <sheetData>
    <row r="2" spans="2:14">
      <c r="B2" t="s">
        <v>36</v>
      </c>
      <c r="C2" t="s">
        <v>41</v>
      </c>
      <c r="J2" s="10" t="s">
        <v>101</v>
      </c>
    </row>
    <row r="3" spans="2:14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>E5</f>
        <v>NOT NULL</v>
      </c>
      <c r="M5" t="str">
        <f>F5</f>
        <v>UNIQUE</v>
      </c>
      <c r="N5" t="s">
        <v>39</v>
      </c>
    </row>
    <row r="6" spans="2:14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>E6</f>
        <v>default now()</v>
      </c>
      <c r="N6" t="s">
        <v>39</v>
      </c>
    </row>
    <row r="7" spans="2:14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>E12</f>
        <v>default true</v>
      </c>
      <c r="N12" t="s">
        <v>39</v>
      </c>
    </row>
    <row r="13" spans="2:14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>
      <c r="J15" t="s">
        <v>40</v>
      </c>
    </row>
    <row r="17" spans="3:10">
      <c r="J17" t="s">
        <v>63</v>
      </c>
    </row>
    <row r="18" spans="3:10">
      <c r="C18" t="s">
        <v>57</v>
      </c>
      <c r="J18" s="5" t="s">
        <v>46</v>
      </c>
    </row>
    <row r="19" spans="3:10">
      <c r="C19" s="7" t="s">
        <v>59</v>
      </c>
      <c r="D19" s="7" t="s">
        <v>60</v>
      </c>
      <c r="E19" s="7" t="s">
        <v>61</v>
      </c>
      <c r="J19" s="6"/>
    </row>
    <row r="20" spans="3:10">
      <c r="C20" s="1" t="s">
        <v>10</v>
      </c>
      <c r="D20" s="1" t="s">
        <v>7</v>
      </c>
      <c r="E20" s="1" t="s">
        <v>58</v>
      </c>
      <c r="J20" s="4" t="s">
        <v>47</v>
      </c>
    </row>
    <row r="21" spans="3:10">
      <c r="C21" s="1" t="s">
        <v>11</v>
      </c>
      <c r="D21" s="1" t="s">
        <v>7</v>
      </c>
      <c r="E21" s="1" t="s">
        <v>58</v>
      </c>
      <c r="J21" s="4" t="s">
        <v>48</v>
      </c>
    </row>
    <row r="22" spans="3:10">
      <c r="C22" s="1" t="s">
        <v>12</v>
      </c>
      <c r="D22" s="1" t="s">
        <v>7</v>
      </c>
      <c r="E22" s="1" t="s">
        <v>62</v>
      </c>
      <c r="J22" s="4" t="s">
        <v>49</v>
      </c>
    </row>
    <row r="23" spans="3:10">
      <c r="C23" s="1" t="s">
        <v>13</v>
      </c>
      <c r="D23" s="1" t="s">
        <v>7</v>
      </c>
      <c r="E23" s="1" t="s">
        <v>62</v>
      </c>
      <c r="J23" s="4" t="s">
        <v>50</v>
      </c>
    </row>
    <row r="24" spans="3:10">
      <c r="C24" s="1" t="s">
        <v>14</v>
      </c>
      <c r="D24" s="1" t="s">
        <v>7</v>
      </c>
      <c r="E24" s="1" t="s">
        <v>62</v>
      </c>
      <c r="J24" s="6"/>
    </row>
    <row r="25" spans="3:10">
      <c r="C25" s="1" t="s">
        <v>23</v>
      </c>
      <c r="D25" s="1" t="s">
        <v>7</v>
      </c>
      <c r="E25" s="1" t="s">
        <v>62</v>
      </c>
      <c r="J25" s="4" t="s">
        <v>51</v>
      </c>
    </row>
    <row r="26" spans="3:10">
      <c r="C26" s="1" t="s">
        <v>32</v>
      </c>
      <c r="D26" s="1" t="s">
        <v>7</v>
      </c>
      <c r="E26" s="1" t="s">
        <v>62</v>
      </c>
      <c r="J26" s="4" t="s">
        <v>48</v>
      </c>
    </row>
    <row r="27" spans="3:10">
      <c r="J27" s="4" t="s">
        <v>52</v>
      </c>
    </row>
    <row r="28" spans="3:10">
      <c r="J28" s="4" t="s">
        <v>53</v>
      </c>
    </row>
    <row r="29" spans="3:10">
      <c r="J29" s="6"/>
    </row>
    <row r="30" spans="3:10">
      <c r="J30" s="4" t="s">
        <v>54</v>
      </c>
    </row>
    <row r="31" spans="3:10">
      <c r="J31" s="4" t="s">
        <v>48</v>
      </c>
    </row>
    <row r="32" spans="3:10">
      <c r="J32" s="4" t="s">
        <v>55</v>
      </c>
    </row>
    <row r="33" spans="10:10">
      <c r="J33" s="4" t="s">
        <v>56</v>
      </c>
    </row>
    <row r="34" spans="10:10">
      <c r="J34" s="4" t="s">
        <v>50</v>
      </c>
    </row>
    <row r="36" spans="10:10">
      <c r="J36" s="4" t="s">
        <v>69</v>
      </c>
    </row>
    <row r="37" spans="10:10">
      <c r="J37" s="5" t="s">
        <v>64</v>
      </c>
    </row>
    <row r="38" spans="10:10">
      <c r="J38" s="5" t="s">
        <v>65</v>
      </c>
    </row>
    <row r="39" spans="10:10">
      <c r="J39" s="4" t="s">
        <v>66</v>
      </c>
    </row>
    <row r="40" spans="10:10">
      <c r="J40" s="4" t="s">
        <v>67</v>
      </c>
    </row>
    <row r="41" spans="10:10">
      <c r="J41" s="4" t="s">
        <v>68</v>
      </c>
    </row>
    <row r="43" spans="10:10">
      <c r="J43" s="22" t="s">
        <v>270</v>
      </c>
    </row>
    <row r="44" spans="10:10">
      <c r="J44" s="22" t="s">
        <v>271</v>
      </c>
    </row>
    <row r="46" spans="10:10">
      <c r="J46" t="s">
        <v>635</v>
      </c>
    </row>
    <row r="47" spans="10:10">
      <c r="J47" t="e" cm="1">
        <f t="array" ref="J47">-- Ejecutar en Supabase SQL Editor.</f>
        <v>#NAME?</v>
      </c>
    </row>
    <row r="49" spans="10:10">
      <c r="J49" t="s">
        <v>636</v>
      </c>
    </row>
    <row r="50" spans="10:10">
      <c r="J50" t="s">
        <v>637</v>
      </c>
    </row>
    <row r="51" spans="10:10">
      <c r="J51" t="s">
        <v>638</v>
      </c>
    </row>
    <row r="52" spans="10:10">
      <c r="J52" t="s">
        <v>639</v>
      </c>
    </row>
    <row r="53" spans="10:10">
      <c r="J53" t="s">
        <v>640</v>
      </c>
    </row>
    <row r="54" spans="10:10">
      <c r="J54" t="s">
        <v>641</v>
      </c>
    </row>
    <row r="55" spans="10:10">
      <c r="J55" t="s">
        <v>642</v>
      </c>
    </row>
    <row r="56" spans="10:10">
      <c r="J56" t="s">
        <v>643</v>
      </c>
    </row>
    <row r="57" spans="10:10">
      <c r="J57" t="s">
        <v>644</v>
      </c>
    </row>
    <row r="59" spans="10:10">
      <c r="J59" t="s">
        <v>645</v>
      </c>
    </row>
    <row r="60" spans="10:10">
      <c r="J60" t="s">
        <v>646</v>
      </c>
    </row>
    <row r="61" spans="10:10">
      <c r="J61" t="s">
        <v>647</v>
      </c>
    </row>
    <row r="62" spans="10:10">
      <c r="J62" t="s">
        <v>648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20C6-A53F-4B84-91F4-BEDBBF97B693}">
  <dimension ref="C4:K43"/>
  <sheetViews>
    <sheetView topLeftCell="A10" workbookViewId="0">
      <selection activeCell="C4" sqref="C4:H4"/>
    </sheetView>
  </sheetViews>
  <sheetFormatPr baseColWidth="10" defaultRowHeight="15"/>
  <cols>
    <col min="4" max="4" width="20.42578125" customWidth="1"/>
    <col min="7" max="7" width="28.5703125" customWidth="1"/>
    <col min="8" max="8" width="34.140625" customWidth="1"/>
  </cols>
  <sheetData>
    <row r="4" spans="3:11">
      <c r="C4" s="2" t="s">
        <v>0</v>
      </c>
      <c r="D4" s="3" t="s">
        <v>2</v>
      </c>
      <c r="E4" s="2" t="s">
        <v>3</v>
      </c>
      <c r="F4" s="2"/>
      <c r="G4" s="3" t="s">
        <v>5</v>
      </c>
      <c r="H4" s="2" t="s">
        <v>16</v>
      </c>
      <c r="I4" s="1"/>
    </row>
    <row r="5" spans="3:11">
      <c r="C5" s="1">
        <v>1</v>
      </c>
      <c r="D5" s="1" t="s">
        <v>84</v>
      </c>
      <c r="E5" s="1" t="s">
        <v>4</v>
      </c>
      <c r="F5" s="1"/>
      <c r="G5" s="1" t="s">
        <v>85</v>
      </c>
      <c r="H5" s="1" t="s">
        <v>89</v>
      </c>
      <c r="I5" s="1"/>
      <c r="K5" s="9" t="s">
        <v>100</v>
      </c>
    </row>
    <row r="6" spans="3:11">
      <c r="C6" s="1"/>
      <c r="D6" s="1" t="s">
        <v>91</v>
      </c>
      <c r="E6" s="1" t="s">
        <v>86</v>
      </c>
      <c r="F6" s="1" t="s">
        <v>87</v>
      </c>
      <c r="G6" s="1" t="s">
        <v>88</v>
      </c>
      <c r="H6" s="1" t="s">
        <v>90</v>
      </c>
      <c r="I6" s="1"/>
      <c r="K6" s="4" t="s">
        <v>70</v>
      </c>
    </row>
    <row r="7" spans="3:11">
      <c r="C7" s="1"/>
      <c r="D7" s="1" t="s">
        <v>10</v>
      </c>
      <c r="E7" s="1" t="s">
        <v>7</v>
      </c>
      <c r="F7" s="1"/>
      <c r="G7" s="1"/>
      <c r="H7" s="1" t="s">
        <v>92</v>
      </c>
      <c r="I7" s="1"/>
      <c r="K7" s="5" t="s">
        <v>71</v>
      </c>
    </row>
    <row r="8" spans="3:11">
      <c r="C8" s="1"/>
      <c r="D8" s="1" t="s">
        <v>11</v>
      </c>
      <c r="E8" s="1" t="s">
        <v>7</v>
      </c>
      <c r="F8" s="1"/>
      <c r="G8" s="1"/>
      <c r="H8" s="1" t="s">
        <v>93</v>
      </c>
      <c r="I8" s="1"/>
      <c r="K8" s="6"/>
    </row>
    <row r="9" spans="3:11">
      <c r="C9" s="1"/>
      <c r="D9" s="1" t="s">
        <v>12</v>
      </c>
      <c r="E9" s="1" t="s">
        <v>7</v>
      </c>
      <c r="F9" s="1"/>
      <c r="G9" s="1"/>
      <c r="H9" s="1" t="s">
        <v>22</v>
      </c>
      <c r="I9" s="1"/>
      <c r="K9" s="5" t="s">
        <v>72</v>
      </c>
    </row>
    <row r="10" spans="3:11">
      <c r="C10" s="1"/>
      <c r="D10" s="1" t="s">
        <v>13</v>
      </c>
      <c r="E10" s="1" t="s">
        <v>7</v>
      </c>
      <c r="F10" s="1"/>
      <c r="G10" s="1"/>
      <c r="H10" s="1" t="s">
        <v>24</v>
      </c>
      <c r="I10" s="1"/>
      <c r="K10" s="5" t="s">
        <v>73</v>
      </c>
    </row>
    <row r="11" spans="3:11">
      <c r="C11" s="1"/>
      <c r="D11" s="1" t="s">
        <v>6</v>
      </c>
      <c r="E11" s="1" t="s">
        <v>7</v>
      </c>
      <c r="F11" s="1"/>
      <c r="G11" s="1"/>
      <c r="H11" s="1" t="s">
        <v>125</v>
      </c>
      <c r="I11" s="1"/>
      <c r="K11" s="6"/>
    </row>
    <row r="12" spans="3:11">
      <c r="C12" s="1"/>
      <c r="D12" s="1" t="s">
        <v>32</v>
      </c>
      <c r="E12" s="1" t="s">
        <v>7</v>
      </c>
      <c r="F12" s="1"/>
      <c r="G12" s="1"/>
      <c r="H12" s="1" t="s">
        <v>126</v>
      </c>
      <c r="I12" s="1"/>
      <c r="K12" s="5" t="s">
        <v>74</v>
      </c>
    </row>
    <row r="13" spans="3:11">
      <c r="C13" s="1"/>
      <c r="D13" s="1" t="s">
        <v>94</v>
      </c>
      <c r="E13" s="1" t="s">
        <v>9</v>
      </c>
      <c r="F13" s="1"/>
      <c r="G13" s="1"/>
      <c r="H13" s="1" t="s">
        <v>128</v>
      </c>
      <c r="I13" s="1"/>
      <c r="K13" s="5" t="s">
        <v>75</v>
      </c>
    </row>
    <row r="14" spans="3:11">
      <c r="C14" s="1"/>
      <c r="D14" s="1" t="s">
        <v>13</v>
      </c>
      <c r="E14" s="1" t="s">
        <v>7</v>
      </c>
      <c r="F14" s="1"/>
      <c r="G14" s="1"/>
      <c r="H14" s="1" t="s">
        <v>127</v>
      </c>
      <c r="I14" s="1"/>
      <c r="K14" s="5" t="s">
        <v>76</v>
      </c>
    </row>
    <row r="15" spans="3:11">
      <c r="C15" s="1"/>
      <c r="D15" s="1" t="s">
        <v>95</v>
      </c>
      <c r="E15" s="1" t="s">
        <v>7</v>
      </c>
      <c r="F15" s="1"/>
      <c r="G15" s="1"/>
      <c r="H15" s="1" t="s">
        <v>129</v>
      </c>
      <c r="I15" s="1"/>
      <c r="K15" s="5" t="s">
        <v>77</v>
      </c>
    </row>
    <row r="16" spans="3:11">
      <c r="C16" s="1"/>
      <c r="D16" s="1" t="s">
        <v>96</v>
      </c>
      <c r="E16" s="1" t="s">
        <v>7</v>
      </c>
      <c r="F16" s="1"/>
      <c r="G16" s="1"/>
      <c r="H16" s="1" t="s">
        <v>130</v>
      </c>
      <c r="I16" s="1"/>
      <c r="K16" s="5" t="s">
        <v>78</v>
      </c>
    </row>
    <row r="17" spans="3:11">
      <c r="C17" s="1"/>
      <c r="D17" s="1" t="s">
        <v>97</v>
      </c>
      <c r="E17" s="1" t="s">
        <v>9</v>
      </c>
      <c r="F17" s="1" t="s">
        <v>43</v>
      </c>
      <c r="G17" s="1"/>
      <c r="H17" s="1" t="s">
        <v>131</v>
      </c>
      <c r="I17" s="1"/>
      <c r="K17" s="5" t="s">
        <v>79</v>
      </c>
    </row>
    <row r="18" spans="3:11">
      <c r="C18" s="1"/>
      <c r="D18" s="1" t="s">
        <v>98</v>
      </c>
      <c r="E18" s="1" t="s">
        <v>44</v>
      </c>
      <c r="F18" s="1" t="s">
        <v>45</v>
      </c>
      <c r="G18" s="1"/>
      <c r="H18" s="1" t="s">
        <v>132</v>
      </c>
      <c r="I18" s="1"/>
      <c r="K18" s="5" t="s">
        <v>99</v>
      </c>
    </row>
    <row r="19" spans="3:11">
      <c r="C19" s="1"/>
      <c r="D19" s="1"/>
      <c r="E19" s="1"/>
      <c r="F19" s="1"/>
      <c r="G19" s="1"/>
      <c r="H19" s="1"/>
      <c r="I19" s="1"/>
      <c r="K19" s="5" t="s">
        <v>80</v>
      </c>
    </row>
    <row r="20" spans="3:11">
      <c r="C20" s="1"/>
      <c r="D20" s="1"/>
      <c r="E20" s="1"/>
      <c r="F20" s="1"/>
      <c r="G20" s="1"/>
      <c r="H20" s="1"/>
      <c r="I20" s="1"/>
      <c r="K20" s="5" t="s">
        <v>81</v>
      </c>
    </row>
    <row r="21" spans="3:11">
      <c r="C21" s="1"/>
      <c r="D21" s="1"/>
      <c r="E21" s="1"/>
      <c r="F21" s="1"/>
      <c r="G21" s="1"/>
      <c r="H21" s="1"/>
      <c r="I21" s="1"/>
      <c r="K21" s="6"/>
    </row>
    <row r="22" spans="3:11">
      <c r="C22" s="1"/>
      <c r="D22" s="1"/>
      <c r="E22" s="1"/>
      <c r="F22" s="1"/>
      <c r="G22" s="1"/>
      <c r="H22" s="1"/>
      <c r="I22" s="1"/>
      <c r="K22" s="5" t="s">
        <v>82</v>
      </c>
    </row>
    <row r="23" spans="3:11">
      <c r="K23" s="5" t="s">
        <v>83</v>
      </c>
    </row>
    <row r="24" spans="3:11">
      <c r="K24" s="8" t="s">
        <v>40</v>
      </c>
    </row>
    <row r="26" spans="3:11">
      <c r="K26" t="s">
        <v>63</v>
      </c>
    </row>
    <row r="28" spans="3:11">
      <c r="K28" s="5" t="s">
        <v>102</v>
      </c>
    </row>
    <row r="29" spans="3:11">
      <c r="K29" s="6"/>
    </row>
    <row r="30" spans="3:11">
      <c r="K30" s="4" t="s">
        <v>103</v>
      </c>
    </row>
    <row r="31" spans="3:11">
      <c r="K31" s="4" t="s">
        <v>104</v>
      </c>
    </row>
    <row r="32" spans="3:11">
      <c r="K32" s="4" t="s">
        <v>52</v>
      </c>
    </row>
    <row r="33" spans="11:11">
      <c r="K33" s="4" t="s">
        <v>105</v>
      </c>
    </row>
    <row r="34" spans="11:11">
      <c r="K34" s="6"/>
    </row>
    <row r="35" spans="11:11">
      <c r="K35" s="4" t="s">
        <v>106</v>
      </c>
    </row>
    <row r="36" spans="11:11">
      <c r="K36" s="4" t="s">
        <v>104</v>
      </c>
    </row>
    <row r="37" spans="11:11">
      <c r="K37" s="4" t="s">
        <v>49</v>
      </c>
    </row>
    <row r="38" spans="11:11">
      <c r="K38" s="4" t="s">
        <v>107</v>
      </c>
    </row>
    <row r="39" spans="11:11">
      <c r="K39" s="6"/>
    </row>
    <row r="40" spans="11:11">
      <c r="K40" s="4" t="s">
        <v>108</v>
      </c>
    </row>
    <row r="41" spans="11:11">
      <c r="K41" s="4" t="s">
        <v>104</v>
      </c>
    </row>
    <row r="42" spans="11:11">
      <c r="K42" s="4" t="s">
        <v>55</v>
      </c>
    </row>
    <row r="43" spans="11:11">
      <c r="K43" s="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427FF-C5D9-4720-AC05-47518D1C8A2A}">
  <dimension ref="B2:I94"/>
  <sheetViews>
    <sheetView topLeftCell="A82" workbookViewId="0">
      <selection activeCell="I89" sqref="I89:I95"/>
    </sheetView>
  </sheetViews>
  <sheetFormatPr baseColWidth="10" defaultRowHeight="15"/>
  <cols>
    <col min="7" max="7" width="29.140625" customWidth="1"/>
    <col min="9" max="9" width="29.5703125" customWidth="1"/>
  </cols>
  <sheetData>
    <row r="2" spans="2:9">
      <c r="B2" s="2" t="s">
        <v>0</v>
      </c>
      <c r="C2" s="3" t="s">
        <v>2</v>
      </c>
      <c r="D2" s="2" t="s">
        <v>3</v>
      </c>
      <c r="E2" s="2"/>
      <c r="F2" s="3" t="s">
        <v>5</v>
      </c>
      <c r="G2" s="2" t="s">
        <v>16</v>
      </c>
      <c r="I2" s="4" t="s">
        <v>109</v>
      </c>
    </row>
    <row r="3" spans="2:9">
      <c r="B3">
        <v>1</v>
      </c>
      <c r="C3" t="s">
        <v>1</v>
      </c>
      <c r="D3" t="s">
        <v>4</v>
      </c>
      <c r="F3" t="s">
        <v>133</v>
      </c>
      <c r="G3" t="s">
        <v>134</v>
      </c>
      <c r="I3" s="5" t="s">
        <v>135</v>
      </c>
    </row>
    <row r="4" spans="2:9">
      <c r="B4">
        <v>2</v>
      </c>
      <c r="C4" s="11" t="s">
        <v>136</v>
      </c>
      <c r="D4" t="s">
        <v>4</v>
      </c>
      <c r="E4" t="s">
        <v>87</v>
      </c>
      <c r="F4" t="s">
        <v>137</v>
      </c>
      <c r="I4" s="5" t="s">
        <v>110</v>
      </c>
    </row>
    <row r="5" spans="2:9">
      <c r="B5">
        <v>3</v>
      </c>
      <c r="C5" s="11" t="s">
        <v>138</v>
      </c>
      <c r="D5" t="s">
        <v>139</v>
      </c>
      <c r="E5" t="s">
        <v>87</v>
      </c>
      <c r="I5" s="5" t="s">
        <v>111</v>
      </c>
    </row>
    <row r="6" spans="2:9">
      <c r="B6">
        <v>4</v>
      </c>
      <c r="C6" s="11" t="s">
        <v>140</v>
      </c>
      <c r="D6" t="s">
        <v>141</v>
      </c>
      <c r="E6" t="s">
        <v>87</v>
      </c>
      <c r="I6" s="5" t="s">
        <v>112</v>
      </c>
    </row>
    <row r="7" spans="2:9">
      <c r="B7">
        <v>5</v>
      </c>
      <c r="C7" s="11" t="s">
        <v>142</v>
      </c>
      <c r="D7" t="s">
        <v>141</v>
      </c>
      <c r="E7" t="s">
        <v>87</v>
      </c>
      <c r="I7" s="5" t="s">
        <v>113</v>
      </c>
    </row>
    <row r="8" spans="2:9">
      <c r="B8">
        <v>6</v>
      </c>
      <c r="C8" s="11" t="s">
        <v>143</v>
      </c>
      <c r="D8" t="s">
        <v>139</v>
      </c>
      <c r="E8" t="s">
        <v>144</v>
      </c>
      <c r="I8" s="5" t="s">
        <v>114</v>
      </c>
    </row>
    <row r="9" spans="2:9">
      <c r="B9">
        <v>7</v>
      </c>
      <c r="C9" s="11" t="s">
        <v>98</v>
      </c>
      <c r="D9" t="s">
        <v>145</v>
      </c>
      <c r="E9" t="s">
        <v>146</v>
      </c>
      <c r="I9" s="5" t="s">
        <v>115</v>
      </c>
    </row>
    <row r="10" spans="2:9">
      <c r="B10">
        <v>8</v>
      </c>
      <c r="C10" s="11" t="s">
        <v>8</v>
      </c>
      <c r="D10" t="s">
        <v>147</v>
      </c>
      <c r="E10" t="s">
        <v>43</v>
      </c>
      <c r="I10" s="5" t="s">
        <v>116</v>
      </c>
    </row>
    <row r="11" spans="2:9">
      <c r="B11">
        <v>9</v>
      </c>
      <c r="C11" s="11" t="s">
        <v>236</v>
      </c>
      <c r="D11" t="s">
        <v>238</v>
      </c>
      <c r="E11" t="s">
        <v>239</v>
      </c>
      <c r="I11" s="5" t="s">
        <v>234</v>
      </c>
    </row>
    <row r="12" spans="2:9">
      <c r="B12">
        <v>10</v>
      </c>
      <c r="C12" s="11" t="s">
        <v>237</v>
      </c>
      <c r="D12" t="s">
        <v>238</v>
      </c>
      <c r="I12" s="5" t="s">
        <v>235</v>
      </c>
    </row>
    <row r="13" spans="2:9">
      <c r="C13" s="5"/>
      <c r="I13" s="8" t="s">
        <v>40</v>
      </c>
    </row>
    <row r="14" spans="2:9">
      <c r="C14" s="5"/>
      <c r="I14" s="6"/>
    </row>
    <row r="15" spans="2:9">
      <c r="C15" s="5"/>
      <c r="I15" s="5" t="s">
        <v>117</v>
      </c>
    </row>
    <row r="16" spans="2:9">
      <c r="I16" s="6"/>
    </row>
    <row r="17" spans="9:9">
      <c r="I17" s="4" t="s">
        <v>118</v>
      </c>
    </row>
    <row r="18" spans="9:9">
      <c r="I18" s="4" t="s">
        <v>119</v>
      </c>
    </row>
    <row r="19" spans="9:9">
      <c r="I19" s="4" t="s">
        <v>52</v>
      </c>
    </row>
    <row r="20" spans="9:9">
      <c r="I20" s="4" t="s">
        <v>105</v>
      </c>
    </row>
    <row r="21" spans="9:9">
      <c r="I21" s="6"/>
    </row>
    <row r="22" spans="9:9">
      <c r="I22" s="4" t="s">
        <v>120</v>
      </c>
    </row>
    <row r="23" spans="9:9">
      <c r="I23" s="4" t="s">
        <v>119</v>
      </c>
    </row>
    <row r="24" spans="9:9">
      <c r="I24" s="4" t="s">
        <v>49</v>
      </c>
    </row>
    <row r="25" spans="9:9">
      <c r="I25" s="4" t="s">
        <v>107</v>
      </c>
    </row>
    <row r="26" spans="9:9">
      <c r="I26" s="6"/>
    </row>
    <row r="27" spans="9:9">
      <c r="I27" s="4" t="s">
        <v>121</v>
      </c>
    </row>
    <row r="28" spans="9:9">
      <c r="I28" s="4" t="s">
        <v>119</v>
      </c>
    </row>
    <row r="29" spans="9:9">
      <c r="I29" s="4" t="s">
        <v>55</v>
      </c>
    </row>
    <row r="30" spans="9:9">
      <c r="I30" s="4" t="s">
        <v>122</v>
      </c>
    </row>
    <row r="31" spans="9:9">
      <c r="I31" s="4" t="s">
        <v>107</v>
      </c>
    </row>
    <row r="32" spans="9:9">
      <c r="I32" s="6"/>
    </row>
    <row r="33" spans="9:9">
      <c r="I33" s="4" t="s">
        <v>123</v>
      </c>
    </row>
    <row r="34" spans="9:9">
      <c r="I34" s="4" t="s">
        <v>119</v>
      </c>
    </row>
    <row r="35" spans="9:9">
      <c r="I35" s="4" t="s">
        <v>124</v>
      </c>
    </row>
    <row r="36" spans="9:9">
      <c r="I36" s="4" t="s">
        <v>105</v>
      </c>
    </row>
    <row r="39" spans="9:9">
      <c r="I39" t="e" cm="1">
        <f t="array" ref="I39">- Migración para separar disponibilidad histórica Mentalia de disponibilidad asociada a Google Calendar</f>
        <v>#NAME?</v>
      </c>
    </row>
    <row r="40" spans="9:9">
      <c r="I40" t="e" cm="1">
        <f t="array" ref="I40">-- Ejecutar una sola vez en Supabase SQL Editor.</f>
        <v>#NAME?</v>
      </c>
    </row>
    <row r="42" spans="9:9">
      <c r="I42" t="s">
        <v>599</v>
      </c>
    </row>
    <row r="43" spans="9:9">
      <c r="I43" t="s">
        <v>600</v>
      </c>
    </row>
    <row r="45" spans="9:9">
      <c r="I45" t="e" cm="1">
        <f t="array" ref="I45">-- Las reglas existentes Se consideran históricas/manuales de Mentalia.</f>
        <v>#NAME?</v>
      </c>
    </row>
    <row r="46" spans="9:9">
      <c r="I46" t="s">
        <v>601</v>
      </c>
    </row>
    <row r="47" spans="9:9">
      <c r="I47" t="s">
        <v>602</v>
      </c>
    </row>
    <row r="48" spans="9:9">
      <c r="I48" t="s">
        <v>603</v>
      </c>
    </row>
    <row r="49" spans="9:9">
      <c r="I49" t="s">
        <v>604</v>
      </c>
    </row>
    <row r="51" spans="9:9">
      <c r="I51" t="s">
        <v>599</v>
      </c>
    </row>
    <row r="52" spans="9:9">
      <c r="I52" t="s">
        <v>605</v>
      </c>
    </row>
    <row r="54" spans="9:9">
      <c r="I54" t="s">
        <v>599</v>
      </c>
    </row>
    <row r="55" spans="9:9">
      <c r="I55" t="s">
        <v>606</v>
      </c>
    </row>
    <row r="57" spans="9:9">
      <c r="I57" t="s">
        <v>607</v>
      </c>
    </row>
    <row r="58" spans="9:9">
      <c r="I58" t="s">
        <v>608</v>
      </c>
    </row>
    <row r="59" spans="9:9">
      <c r="I59" t="s">
        <v>609</v>
      </c>
    </row>
    <row r="60" spans="9:9">
      <c r="I60" t="s">
        <v>610</v>
      </c>
    </row>
    <row r="61" spans="9:9">
      <c r="I61" t="s">
        <v>611</v>
      </c>
    </row>
    <row r="62" spans="9:9">
      <c r="I62" t="s">
        <v>612</v>
      </c>
    </row>
    <row r="63" spans="9:9">
      <c r="I63" t="s">
        <v>613</v>
      </c>
    </row>
    <row r="64" spans="9:9">
      <c r="I64" t="s">
        <v>614</v>
      </c>
    </row>
    <row r="65" spans="9:9">
      <c r="I65" t="s">
        <v>615</v>
      </c>
    </row>
    <row r="66" spans="9:9">
      <c r="I66" t="s">
        <v>616</v>
      </c>
    </row>
    <row r="67" spans="9:9">
      <c r="I67" t="s">
        <v>617</v>
      </c>
    </row>
    <row r="68" spans="9:9">
      <c r="I68" t="s">
        <v>618</v>
      </c>
    </row>
    <row r="70" spans="9:9">
      <c r="I70" t="s">
        <v>619</v>
      </c>
    </row>
    <row r="71" spans="9:9">
      <c r="I71" t="s">
        <v>620</v>
      </c>
    </row>
    <row r="73" spans="9:9">
      <c r="I73" t="e" cm="1">
        <f t="array" ref="I73">-- Validación rápida</f>
        <v>#NAME?</v>
      </c>
    </row>
    <row r="74" spans="9:9">
      <c r="I74" t="s">
        <v>621</v>
      </c>
    </row>
    <row r="75" spans="9:9">
      <c r="I75" t="s">
        <v>622</v>
      </c>
    </row>
    <row r="76" spans="9:9">
      <c r="I76" t="s">
        <v>623</v>
      </c>
    </row>
    <row r="77" spans="9:9">
      <c r="I77" t="s">
        <v>624</v>
      </c>
    </row>
    <row r="78" spans="9:9">
      <c r="I78" t="s">
        <v>625</v>
      </c>
    </row>
    <row r="79" spans="9:9">
      <c r="I79" t="s">
        <v>626</v>
      </c>
    </row>
    <row r="80" spans="9:9">
      <c r="I80" t="s">
        <v>627</v>
      </c>
    </row>
    <row r="81" spans="9:9">
      <c r="I81" t="s">
        <v>628</v>
      </c>
    </row>
    <row r="82" spans="9:9">
      <c r="I82" t="s">
        <v>629</v>
      </c>
    </row>
    <row r="83" spans="9:9">
      <c r="I83" t="s">
        <v>630</v>
      </c>
    </row>
    <row r="84" spans="9:9">
      <c r="I84" t="s">
        <v>631</v>
      </c>
    </row>
    <row r="85" spans="9:9">
      <c r="I85" t="s">
        <v>632</v>
      </c>
    </row>
    <row r="86" spans="9:9">
      <c r="I86" t="s">
        <v>633</v>
      </c>
    </row>
    <row r="87" spans="9:9">
      <c r="I87" t="s">
        <v>634</v>
      </c>
    </row>
    <row r="89" spans="9:9">
      <c r="I89" t="s">
        <v>649</v>
      </c>
    </row>
    <row r="90" spans="9:9">
      <c r="I90" t="s">
        <v>650</v>
      </c>
    </row>
    <row r="91" spans="9:9">
      <c r="I91" t="s">
        <v>651</v>
      </c>
    </row>
    <row r="93" spans="9:9">
      <c r="I93" t="s">
        <v>652</v>
      </c>
    </row>
    <row r="94" spans="9:9">
      <c r="I94" t="s">
        <v>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1155-6C7C-4B7E-B65D-8C5639CA41D6}">
  <dimension ref="A1:I245"/>
  <sheetViews>
    <sheetView topLeftCell="A31" workbookViewId="0">
      <selection activeCell="G36" sqref="G36"/>
    </sheetView>
  </sheetViews>
  <sheetFormatPr baseColWidth="10" defaultRowHeight="15"/>
  <cols>
    <col min="9" max="9" width="22.7109375" customWidth="1"/>
  </cols>
  <sheetData>
    <row r="1" spans="1:9">
      <c r="A1" t="s">
        <v>148</v>
      </c>
    </row>
    <row r="3" spans="1:9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I3" s="4" t="s">
        <v>149</v>
      </c>
    </row>
    <row r="4" spans="1:9">
      <c r="B4">
        <v>1</v>
      </c>
      <c r="C4" s="5" t="s">
        <v>71</v>
      </c>
      <c r="I4" s="5" t="s">
        <v>71</v>
      </c>
    </row>
    <row r="5" spans="1:9">
      <c r="C5" s="5" t="s">
        <v>110</v>
      </c>
      <c r="I5" s="5" t="s">
        <v>110</v>
      </c>
    </row>
    <row r="6" spans="1:9">
      <c r="C6" s="5" t="s">
        <v>150</v>
      </c>
      <c r="I6" s="5" t="s">
        <v>150</v>
      </c>
    </row>
    <row r="7" spans="1:9">
      <c r="C7" s="5" t="s">
        <v>151</v>
      </c>
      <c r="I7" s="5" t="s">
        <v>151</v>
      </c>
    </row>
    <row r="8" spans="1:9">
      <c r="C8" s="5" t="s">
        <v>112</v>
      </c>
      <c r="I8" s="5" t="s">
        <v>112</v>
      </c>
    </row>
    <row r="9" spans="1:9">
      <c r="C9" s="5" t="s">
        <v>113</v>
      </c>
      <c r="I9" s="5" t="s">
        <v>113</v>
      </c>
    </row>
    <row r="10" spans="1:9">
      <c r="C10" s="5" t="s">
        <v>152</v>
      </c>
      <c r="I10" s="5" t="s">
        <v>152</v>
      </c>
    </row>
    <row r="11" spans="1:9">
      <c r="C11" s="5" t="s">
        <v>153</v>
      </c>
      <c r="I11" s="5" t="s">
        <v>153</v>
      </c>
    </row>
    <row r="12" spans="1:9">
      <c r="C12" s="5" t="s">
        <v>116</v>
      </c>
      <c r="I12" s="5" t="s">
        <v>116</v>
      </c>
    </row>
    <row r="13" spans="1:9">
      <c r="I13" s="8" t="s">
        <v>40</v>
      </c>
    </row>
    <row r="14" spans="1:9">
      <c r="I14" s="6"/>
    </row>
    <row r="15" spans="1:9">
      <c r="I15" s="5" t="s">
        <v>154</v>
      </c>
    </row>
    <row r="16" spans="1:9">
      <c r="I16" s="6"/>
    </row>
    <row r="17" spans="9:9">
      <c r="I17" s="4" t="s">
        <v>155</v>
      </c>
    </row>
    <row r="18" spans="9:9">
      <c r="I18" s="4" t="s">
        <v>156</v>
      </c>
    </row>
    <row r="19" spans="9:9">
      <c r="I19" s="4" t="s">
        <v>105</v>
      </c>
    </row>
    <row r="20" spans="9:9">
      <c r="I20" s="6"/>
    </row>
    <row r="21" spans="9:9">
      <c r="I21" s="4" t="s">
        <v>157</v>
      </c>
    </row>
    <row r="22" spans="9:9">
      <c r="I22" s="4" t="s">
        <v>158</v>
      </c>
    </row>
    <row r="23" spans="9:9">
      <c r="I23" s="4" t="s">
        <v>107</v>
      </c>
    </row>
    <row r="24" spans="9:9">
      <c r="I24" s="6"/>
    </row>
    <row r="25" spans="9:9">
      <c r="I25" s="4" t="s">
        <v>159</v>
      </c>
    </row>
    <row r="26" spans="9:9">
      <c r="I26" s="4" t="s">
        <v>160</v>
      </c>
    </row>
    <row r="27" spans="9:9">
      <c r="I27" s="4" t="s">
        <v>105</v>
      </c>
    </row>
    <row r="30" spans="9:9">
      <c r="I30" s="4" t="s">
        <v>718</v>
      </c>
    </row>
    <row r="32" spans="9:9">
      <c r="I32" t="e" cm="1">
        <f t="array" ref="I32">-- RPC para Guardar una Reserva pública sin exponer inserciones directas en tablas internas.</f>
        <v>#NAME?</v>
      </c>
    </row>
    <row r="33" spans="9:9">
      <c r="I33" t="e" cm="1">
        <f t="array" ref="I33">-- Ejecutar en Supabase SQL Editor.</f>
        <v>#NAME?</v>
      </c>
    </row>
    <row r="35" spans="9:9">
      <c r="I35" t="e" cm="1">
        <f t="array" ref="I35">-- Campos operativos mínimos para reservas públicas.</f>
        <v>#NAME?</v>
      </c>
    </row>
    <row r="36" spans="9:9">
      <c r="I36" t="s">
        <v>719</v>
      </c>
    </row>
    <row r="37" spans="9:9">
      <c r="I37" t="s">
        <v>720</v>
      </c>
    </row>
    <row r="39" spans="9:9">
      <c r="I39" t="s">
        <v>719</v>
      </c>
    </row>
    <row r="40" spans="9:9">
      <c r="I40" t="s">
        <v>721</v>
      </c>
    </row>
    <row r="42" spans="9:9">
      <c r="I42" t="s">
        <v>719</v>
      </c>
    </row>
    <row r="43" spans="9:9">
      <c r="I43" t="s">
        <v>722</v>
      </c>
    </row>
    <row r="45" spans="9:9">
      <c r="I45" t="e" cm="1">
        <f t="array" ref="I45">-- Recomendado para acelerar Validación de choques de horario.</f>
        <v>#NAME?</v>
      </c>
    </row>
    <row r="46" spans="9:9">
      <c r="I46" t="s">
        <v>723</v>
      </c>
    </row>
    <row r="47" spans="9:9">
      <c r="I47" t="s">
        <v>724</v>
      </c>
    </row>
    <row r="49" spans="9:9">
      <c r="I49" t="s">
        <v>725</v>
      </c>
    </row>
    <row r="50" spans="9:9">
      <c r="I50" t="s">
        <v>726</v>
      </c>
    </row>
    <row r="51" spans="9:9">
      <c r="I51" t="s">
        <v>727</v>
      </c>
    </row>
    <row r="52" spans="9:9">
      <c r="I52" t="s">
        <v>728</v>
      </c>
    </row>
    <row r="53" spans="9:9">
      <c r="I53" t="s">
        <v>729</v>
      </c>
    </row>
    <row r="54" spans="9:9">
      <c r="I54" t="s">
        <v>730</v>
      </c>
    </row>
    <row r="55" spans="9:9">
      <c r="I55" t="s">
        <v>731</v>
      </c>
    </row>
    <row r="56" spans="9:9">
      <c r="I56" t="s">
        <v>732</v>
      </c>
    </row>
    <row r="57" spans="9:9">
      <c r="I57" t="s">
        <v>733</v>
      </c>
    </row>
    <row r="58" spans="9:9">
      <c r="I58" t="s">
        <v>734</v>
      </c>
    </row>
    <row r="59" spans="9:9">
      <c r="I59" t="s">
        <v>735</v>
      </c>
    </row>
    <row r="60" spans="9:9">
      <c r="I60" t="s">
        <v>736</v>
      </c>
    </row>
    <row r="61" spans="9:9">
      <c r="I61" t="s">
        <v>372</v>
      </c>
    </row>
    <row r="62" spans="9:9">
      <c r="I62" t="s">
        <v>737</v>
      </c>
    </row>
    <row r="63" spans="9:9">
      <c r="I63" t="s">
        <v>738</v>
      </c>
    </row>
    <row r="64" spans="9:9">
      <c r="I64" t="s">
        <v>739</v>
      </c>
    </row>
    <row r="65" spans="9:9">
      <c r="I65" t="s">
        <v>740</v>
      </c>
    </row>
    <row r="66" spans="9:9">
      <c r="I66" t="s">
        <v>741</v>
      </c>
    </row>
    <row r="67" spans="9:9">
      <c r="I67" t="s">
        <v>372</v>
      </c>
    </row>
    <row r="68" spans="9:9">
      <c r="I68" t="s">
        <v>347</v>
      </c>
    </row>
    <row r="69" spans="9:9">
      <c r="I69" t="s">
        <v>742</v>
      </c>
    </row>
    <row r="70" spans="9:9">
      <c r="I70" t="s">
        <v>743</v>
      </c>
    </row>
    <row r="71" spans="9:9">
      <c r="I71" t="s">
        <v>348</v>
      </c>
    </row>
    <row r="72" spans="9:9">
      <c r="I72" t="s">
        <v>744</v>
      </c>
    </row>
    <row r="73" spans="9:9">
      <c r="I73" t="s">
        <v>745</v>
      </c>
    </row>
    <row r="74" spans="9:9">
      <c r="I74" t="s">
        <v>746</v>
      </c>
    </row>
    <row r="75" spans="9:9">
      <c r="I75" t="s">
        <v>747</v>
      </c>
    </row>
    <row r="76" spans="9:9">
      <c r="I76" t="s">
        <v>748</v>
      </c>
    </row>
    <row r="77" spans="9:9">
      <c r="I77" t="s">
        <v>749</v>
      </c>
    </row>
    <row r="78" spans="9:9">
      <c r="I78" t="s">
        <v>750</v>
      </c>
    </row>
    <row r="79" spans="9:9">
      <c r="I79" t="s">
        <v>751</v>
      </c>
    </row>
    <row r="80" spans="9:9">
      <c r="I80" t="s">
        <v>752</v>
      </c>
    </row>
    <row r="81" spans="9:9">
      <c r="I81" t="s">
        <v>332</v>
      </c>
    </row>
    <row r="82" spans="9:9">
      <c r="I82" t="s">
        <v>753</v>
      </c>
    </row>
    <row r="83" spans="9:9">
      <c r="I83" t="s">
        <v>754</v>
      </c>
    </row>
    <row r="85" spans="9:9">
      <c r="I85" t="s">
        <v>755</v>
      </c>
    </row>
    <row r="86" spans="9:9">
      <c r="I86" t="s">
        <v>756</v>
      </c>
    </row>
    <row r="87" spans="9:9">
      <c r="I87" t="s">
        <v>343</v>
      </c>
    </row>
    <row r="89" spans="9:9">
      <c r="I89" t="s">
        <v>757</v>
      </c>
    </row>
    <row r="90" spans="9:9">
      <c r="I90" t="s">
        <v>758</v>
      </c>
    </row>
    <row r="91" spans="9:9">
      <c r="I91" t="s">
        <v>343</v>
      </c>
    </row>
    <row r="93" spans="9:9">
      <c r="I93" t="s">
        <v>759</v>
      </c>
    </row>
    <row r="94" spans="9:9">
      <c r="I94" t="s">
        <v>760</v>
      </c>
    </row>
    <row r="95" spans="9:9">
      <c r="I95" t="s">
        <v>343</v>
      </c>
    </row>
    <row r="97" spans="9:9">
      <c r="I97" t="s">
        <v>761</v>
      </c>
    </row>
    <row r="98" spans="9:9">
      <c r="I98" t="s">
        <v>762</v>
      </c>
    </row>
    <row r="99" spans="9:9">
      <c r="I99" t="s">
        <v>343</v>
      </c>
    </row>
    <row r="101" spans="9:9">
      <c r="I101" t="s">
        <v>763</v>
      </c>
    </row>
    <row r="102" spans="9:9">
      <c r="I102" t="s">
        <v>764</v>
      </c>
    </row>
    <row r="103" spans="9:9">
      <c r="I103" t="s">
        <v>343</v>
      </c>
    </row>
    <row r="105" spans="9:9">
      <c r="I105" t="s">
        <v>765</v>
      </c>
    </row>
    <row r="106" spans="9:9">
      <c r="I106" t="s">
        <v>766</v>
      </c>
    </row>
    <row r="107" spans="9:9">
      <c r="I107" t="s">
        <v>343</v>
      </c>
    </row>
    <row r="109" spans="9:9">
      <c r="I109" t="s">
        <v>767</v>
      </c>
    </row>
    <row r="110" spans="9:9">
      <c r="I110" t="s">
        <v>768</v>
      </c>
    </row>
    <row r="111" spans="9:9">
      <c r="I111" t="s">
        <v>343</v>
      </c>
    </row>
    <row r="113" spans="9:9">
      <c r="I113" t="s">
        <v>769</v>
      </c>
    </row>
    <row r="114" spans="9:9">
      <c r="I114" t="s">
        <v>770</v>
      </c>
    </row>
    <row r="115" spans="9:9">
      <c r="I115" t="s">
        <v>771</v>
      </c>
    </row>
    <row r="116" spans="9:9">
      <c r="I116" t="s">
        <v>772</v>
      </c>
    </row>
    <row r="117" spans="9:9">
      <c r="I117" t="s">
        <v>773</v>
      </c>
    </row>
    <row r="118" spans="9:9">
      <c r="I118" t="s">
        <v>774</v>
      </c>
    </row>
    <row r="120" spans="9:9">
      <c r="I120" t="s">
        <v>775</v>
      </c>
    </row>
    <row r="121" spans="9:9">
      <c r="I121" t="s">
        <v>776</v>
      </c>
    </row>
    <row r="122" spans="9:9">
      <c r="I122" t="s">
        <v>343</v>
      </c>
    </row>
    <row r="124" spans="9:9">
      <c r="I124" t="s">
        <v>777</v>
      </c>
    </row>
    <row r="126" spans="9:9">
      <c r="I126" t="s">
        <v>778</v>
      </c>
    </row>
    <row r="127" spans="9:9">
      <c r="I127" t="s">
        <v>334</v>
      </c>
    </row>
    <row r="128" spans="9:9">
      <c r="I128" t="s">
        <v>779</v>
      </c>
    </row>
    <row r="129" spans="9:9">
      <c r="I129" t="s">
        <v>780</v>
      </c>
    </row>
    <row r="130" spans="9:9">
      <c r="I130" t="s">
        <v>781</v>
      </c>
    </row>
    <row r="131" spans="9:9">
      <c r="I131" t="s">
        <v>782</v>
      </c>
    </row>
    <row r="132" spans="9:9">
      <c r="I132" t="s">
        <v>783</v>
      </c>
    </row>
    <row r="133" spans="9:9">
      <c r="I133" t="s">
        <v>784</v>
      </c>
    </row>
    <row r="134" spans="9:9">
      <c r="I134" t="s">
        <v>785</v>
      </c>
    </row>
    <row r="135" spans="9:9">
      <c r="I135" t="s">
        <v>786</v>
      </c>
    </row>
    <row r="136" spans="9:9">
      <c r="I136" t="s">
        <v>787</v>
      </c>
    </row>
    <row r="137" spans="9:9">
      <c r="I137" t="s">
        <v>788</v>
      </c>
    </row>
    <row r="138" spans="9:9">
      <c r="I138" t="s">
        <v>789</v>
      </c>
    </row>
    <row r="140" spans="9:9">
      <c r="I140" t="s">
        <v>790</v>
      </c>
    </row>
    <row r="141" spans="9:9">
      <c r="I141" t="s">
        <v>791</v>
      </c>
    </row>
    <row r="142" spans="9:9">
      <c r="I142" t="s">
        <v>343</v>
      </c>
    </row>
    <row r="144" spans="9:9">
      <c r="I144" t="s">
        <v>778</v>
      </c>
    </row>
    <row r="145" spans="9:9">
      <c r="I145" t="s">
        <v>334</v>
      </c>
    </row>
    <row r="146" spans="9:9">
      <c r="I146" t="s">
        <v>792</v>
      </c>
    </row>
    <row r="147" spans="9:9">
      <c r="I147" t="s">
        <v>793</v>
      </c>
    </row>
    <row r="148" spans="9:9">
      <c r="I148" t="s">
        <v>794</v>
      </c>
    </row>
    <row r="149" spans="9:9">
      <c r="I149" t="s">
        <v>795</v>
      </c>
    </row>
    <row r="150" spans="9:9">
      <c r="I150" t="s">
        <v>311</v>
      </c>
    </row>
    <row r="151" spans="9:9">
      <c r="I151" t="s">
        <v>796</v>
      </c>
    </row>
    <row r="152" spans="9:9">
      <c r="I152" t="s">
        <v>797</v>
      </c>
    </row>
    <row r="153" spans="9:9">
      <c r="I153" t="s">
        <v>314</v>
      </c>
    </row>
    <row r="154" spans="9:9">
      <c r="I154" t="s">
        <v>798</v>
      </c>
    </row>
    <row r="155" spans="9:9">
      <c r="I155" t="s">
        <v>799</v>
      </c>
    </row>
    <row r="156" spans="9:9">
      <c r="I156" t="s">
        <v>788</v>
      </c>
    </row>
    <row r="157" spans="9:9">
      <c r="I157" t="s">
        <v>800</v>
      </c>
    </row>
    <row r="159" spans="9:9">
      <c r="I159" t="s">
        <v>801</v>
      </c>
    </row>
    <row r="160" spans="9:9">
      <c r="I160" t="s">
        <v>802</v>
      </c>
    </row>
    <row r="161" spans="9:9">
      <c r="I161" t="s">
        <v>343</v>
      </c>
    </row>
    <row r="163" spans="9:9">
      <c r="I163" t="s">
        <v>803</v>
      </c>
    </row>
    <row r="164" spans="9:9">
      <c r="I164" t="s">
        <v>804</v>
      </c>
    </row>
    <row r="165" spans="9:9">
      <c r="I165" t="s">
        <v>805</v>
      </c>
    </row>
    <row r="166" spans="9:9">
      <c r="I166" t="s">
        <v>806</v>
      </c>
    </row>
    <row r="167" spans="9:9">
      <c r="I167" t="s">
        <v>807</v>
      </c>
    </row>
    <row r="168" spans="9:9">
      <c r="I168" t="s">
        <v>808</v>
      </c>
    </row>
    <row r="169" spans="9:9">
      <c r="I169" t="s">
        <v>809</v>
      </c>
    </row>
    <row r="170" spans="9:9">
      <c r="I170" t="s">
        <v>321</v>
      </c>
    </row>
    <row r="171" spans="9:9">
      <c r="I171" t="s">
        <v>774</v>
      </c>
    </row>
    <row r="173" spans="9:9">
      <c r="I173" t="s">
        <v>810</v>
      </c>
    </row>
    <row r="174" spans="9:9">
      <c r="I174" t="s">
        <v>811</v>
      </c>
    </row>
    <row r="175" spans="9:9">
      <c r="I175" t="s">
        <v>812</v>
      </c>
    </row>
    <row r="176" spans="9:9">
      <c r="I176" t="s">
        <v>813</v>
      </c>
    </row>
    <row r="177" spans="9:9">
      <c r="I177" t="s">
        <v>814</v>
      </c>
    </row>
    <row r="178" spans="9:9">
      <c r="I178" t="s">
        <v>815</v>
      </c>
    </row>
    <row r="179" spans="9:9">
      <c r="I179" t="s">
        <v>816</v>
      </c>
    </row>
    <row r="180" spans="9:9">
      <c r="I180" t="s">
        <v>817</v>
      </c>
    </row>
    <row r="181" spans="9:9">
      <c r="I181" t="s">
        <v>818</v>
      </c>
    </row>
    <row r="182" spans="9:9">
      <c r="I182" t="s">
        <v>819</v>
      </c>
    </row>
    <row r="183" spans="9:9">
      <c r="I183" t="s">
        <v>820</v>
      </c>
    </row>
    <row r="184" spans="9:9">
      <c r="I184" t="s">
        <v>821</v>
      </c>
    </row>
    <row r="185" spans="9:9">
      <c r="I185" t="s">
        <v>822</v>
      </c>
    </row>
    <row r="186" spans="9:9">
      <c r="I186" t="s">
        <v>823</v>
      </c>
    </row>
    <row r="187" spans="9:9">
      <c r="I187" t="s">
        <v>824</v>
      </c>
    </row>
    <row r="188" spans="9:9">
      <c r="I188" t="s">
        <v>321</v>
      </c>
    </row>
    <row r="189" spans="9:9">
      <c r="I189" t="s">
        <v>825</v>
      </c>
    </row>
    <row r="190" spans="9:9">
      <c r="I190" t="s">
        <v>826</v>
      </c>
    </row>
    <row r="191" spans="9:9">
      <c r="I191" t="s">
        <v>827</v>
      </c>
    </row>
    <row r="192" spans="9:9">
      <c r="I192" t="s">
        <v>828</v>
      </c>
    </row>
    <row r="193" spans="9:9">
      <c r="I193" t="s">
        <v>829</v>
      </c>
    </row>
    <row r="194" spans="9:9">
      <c r="I194" t="s">
        <v>830</v>
      </c>
    </row>
    <row r="195" spans="9:9">
      <c r="I195" t="s">
        <v>831</v>
      </c>
    </row>
    <row r="196" spans="9:9">
      <c r="I196" t="s">
        <v>832</v>
      </c>
    </row>
    <row r="197" spans="9:9">
      <c r="I197" t="s">
        <v>833</v>
      </c>
    </row>
    <row r="198" spans="9:9">
      <c r="I198" t="s">
        <v>834</v>
      </c>
    </row>
    <row r="199" spans="9:9">
      <c r="I199" t="s">
        <v>343</v>
      </c>
    </row>
    <row r="201" spans="9:9">
      <c r="I201" t="s">
        <v>835</v>
      </c>
    </row>
    <row r="202" spans="9:9">
      <c r="I202" t="s">
        <v>836</v>
      </c>
    </row>
    <row r="203" spans="9:9">
      <c r="I203" t="s">
        <v>837</v>
      </c>
    </row>
    <row r="204" spans="9:9">
      <c r="I204" t="s">
        <v>838</v>
      </c>
    </row>
    <row r="205" spans="9:9">
      <c r="I205" t="s">
        <v>839</v>
      </c>
    </row>
    <row r="206" spans="9:9">
      <c r="I206" t="s">
        <v>840</v>
      </c>
    </row>
    <row r="207" spans="9:9">
      <c r="I207" t="s">
        <v>841</v>
      </c>
    </row>
    <row r="208" spans="9:9">
      <c r="I208" t="s">
        <v>842</v>
      </c>
    </row>
    <row r="209" spans="9:9">
      <c r="I209" t="s">
        <v>843</v>
      </c>
    </row>
    <row r="210" spans="9:9">
      <c r="I210" t="s">
        <v>844</v>
      </c>
    </row>
    <row r="211" spans="9:9">
      <c r="I211" t="s">
        <v>845</v>
      </c>
    </row>
    <row r="212" spans="9:9">
      <c r="I212" t="s">
        <v>846</v>
      </c>
    </row>
    <row r="213" spans="9:9">
      <c r="I213" t="s">
        <v>847</v>
      </c>
    </row>
    <row r="214" spans="9:9">
      <c r="I214" t="s">
        <v>848</v>
      </c>
    </row>
    <row r="215" spans="9:9">
      <c r="I215" t="s">
        <v>849</v>
      </c>
    </row>
    <row r="216" spans="9:9">
      <c r="I216" t="s">
        <v>850</v>
      </c>
    </row>
    <row r="217" spans="9:9">
      <c r="I217" t="s">
        <v>851</v>
      </c>
    </row>
    <row r="218" spans="9:9">
      <c r="I218" t="s">
        <v>852</v>
      </c>
    </row>
    <row r="219" spans="9:9">
      <c r="I219" t="s">
        <v>853</v>
      </c>
    </row>
    <row r="220" spans="9:9">
      <c r="I220" t="s">
        <v>854</v>
      </c>
    </row>
    <row r="221" spans="9:9">
      <c r="I221" t="s">
        <v>704</v>
      </c>
    </row>
    <row r="222" spans="9:9">
      <c r="I222" t="s">
        <v>855</v>
      </c>
    </row>
    <row r="224" spans="9:9">
      <c r="I224" t="s">
        <v>856</v>
      </c>
    </row>
    <row r="225" spans="9:9">
      <c r="I225" t="s">
        <v>857</v>
      </c>
    </row>
    <row r="226" spans="9:9">
      <c r="I226" t="s">
        <v>858</v>
      </c>
    </row>
    <row r="227" spans="9:9">
      <c r="I227" t="s">
        <v>847</v>
      </c>
    </row>
    <row r="228" spans="9:9">
      <c r="I228" t="s">
        <v>859</v>
      </c>
    </row>
    <row r="229" spans="9:9">
      <c r="I229" t="s">
        <v>860</v>
      </c>
    </row>
    <row r="230" spans="9:9">
      <c r="I230" t="s">
        <v>351</v>
      </c>
    </row>
    <row r="231" spans="9:9">
      <c r="I231" t="s">
        <v>352</v>
      </c>
    </row>
    <row r="233" spans="9:9">
      <c r="I233" t="s">
        <v>861</v>
      </c>
    </row>
    <row r="234" spans="9:9">
      <c r="I234" t="s">
        <v>862</v>
      </c>
    </row>
    <row r="235" spans="9:9">
      <c r="I235" t="s">
        <v>863</v>
      </c>
    </row>
    <row r="236" spans="9:9">
      <c r="I236" t="s">
        <v>864</v>
      </c>
    </row>
    <row r="237" spans="9:9">
      <c r="I237" t="s">
        <v>864</v>
      </c>
    </row>
    <row r="238" spans="9:9">
      <c r="I238" t="s">
        <v>862</v>
      </c>
    </row>
    <row r="239" spans="9:9">
      <c r="I239" t="s">
        <v>862</v>
      </c>
    </row>
    <row r="240" spans="9:9">
      <c r="I240" t="s">
        <v>862</v>
      </c>
    </row>
    <row r="241" spans="9:9">
      <c r="I241" t="s">
        <v>862</v>
      </c>
    </row>
    <row r="242" spans="9:9">
      <c r="I242" t="s">
        <v>862</v>
      </c>
    </row>
    <row r="243" spans="9:9">
      <c r="I243" t="s">
        <v>862</v>
      </c>
    </row>
    <row r="244" spans="9:9">
      <c r="I244" t="s">
        <v>865</v>
      </c>
    </row>
    <row r="245" spans="9:9">
      <c r="I245" t="s">
        <v>866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0E5A-CD48-497F-A9D3-36BC3628BC5C}">
  <dimension ref="B3:B216"/>
  <sheetViews>
    <sheetView workbookViewId="0">
      <selection activeCell="B9" sqref="B9"/>
    </sheetView>
  </sheetViews>
  <sheetFormatPr baseColWidth="10" defaultRowHeight="15"/>
  <sheetData>
    <row r="3" spans="2:2">
      <c r="B3" t="e" cm="1">
        <f t="array" ref="B3">-- RPC para Guardar una Reserva pública sin exponer inserciones directas en tablas internas.</f>
        <v>#NAME?</v>
      </c>
    </row>
    <row r="4" spans="2:2">
      <c r="B4" t="e" cm="1">
        <f t="array" ref="B4">-- Ejecutar en Supabase SQL Editor.</f>
        <v>#NAME?</v>
      </c>
    </row>
    <row r="6" spans="2:2">
      <c r="B6" t="e" cm="1">
        <f t="array" ref="B6">-- Campos operativos mínimos para reservas públicas.</f>
        <v>#NAME?</v>
      </c>
    </row>
    <row r="7" spans="2:2">
      <c r="B7" t="s">
        <v>719</v>
      </c>
    </row>
    <row r="8" spans="2:2">
      <c r="B8" t="s">
        <v>720</v>
      </c>
    </row>
    <row r="10" spans="2:2">
      <c r="B10" t="s">
        <v>719</v>
      </c>
    </row>
    <row r="11" spans="2:2">
      <c r="B11" t="s">
        <v>721</v>
      </c>
    </row>
    <row r="13" spans="2:2">
      <c r="B13" t="s">
        <v>719</v>
      </c>
    </row>
    <row r="14" spans="2:2">
      <c r="B14" t="s">
        <v>722</v>
      </c>
    </row>
    <row r="16" spans="2:2">
      <c r="B16" t="e" cm="1">
        <f t="array" ref="B16">-- Recomendado para acelerar Validación de choques de horario.</f>
        <v>#NAME?</v>
      </c>
    </row>
    <row r="17" spans="2:2">
      <c r="B17" t="s">
        <v>723</v>
      </c>
    </row>
    <row r="18" spans="2:2">
      <c r="B18" t="s">
        <v>724</v>
      </c>
    </row>
    <row r="20" spans="2:2">
      <c r="B20" t="s">
        <v>725</v>
      </c>
    </row>
    <row r="21" spans="2:2">
      <c r="B21" t="s">
        <v>726</v>
      </c>
    </row>
    <row r="22" spans="2:2">
      <c r="B22" t="s">
        <v>727</v>
      </c>
    </row>
    <row r="23" spans="2:2">
      <c r="B23" t="s">
        <v>728</v>
      </c>
    </row>
    <row r="24" spans="2:2">
      <c r="B24" t="s">
        <v>729</v>
      </c>
    </row>
    <row r="25" spans="2:2">
      <c r="B25" t="s">
        <v>730</v>
      </c>
    </row>
    <row r="26" spans="2:2">
      <c r="B26" t="s">
        <v>731</v>
      </c>
    </row>
    <row r="27" spans="2:2">
      <c r="B27" t="s">
        <v>732</v>
      </c>
    </row>
    <row r="28" spans="2:2">
      <c r="B28" t="s">
        <v>733</v>
      </c>
    </row>
    <row r="29" spans="2:2">
      <c r="B29" t="s">
        <v>734</v>
      </c>
    </row>
    <row r="30" spans="2:2">
      <c r="B30" t="s">
        <v>735</v>
      </c>
    </row>
    <row r="31" spans="2:2">
      <c r="B31" t="s">
        <v>736</v>
      </c>
    </row>
    <row r="32" spans="2:2">
      <c r="B32" t="s">
        <v>372</v>
      </c>
    </row>
    <row r="33" spans="2:2">
      <c r="B33" t="s">
        <v>737</v>
      </c>
    </row>
    <row r="34" spans="2:2">
      <c r="B34" t="s">
        <v>738</v>
      </c>
    </row>
    <row r="35" spans="2:2">
      <c r="B35" t="s">
        <v>739</v>
      </c>
    </row>
    <row r="36" spans="2:2">
      <c r="B36" t="s">
        <v>740</v>
      </c>
    </row>
    <row r="37" spans="2:2">
      <c r="B37" t="s">
        <v>741</v>
      </c>
    </row>
    <row r="38" spans="2:2">
      <c r="B38" t="s">
        <v>372</v>
      </c>
    </row>
    <row r="39" spans="2:2">
      <c r="B39" t="s">
        <v>347</v>
      </c>
    </row>
    <row r="40" spans="2:2">
      <c r="B40" t="s">
        <v>742</v>
      </c>
    </row>
    <row r="41" spans="2:2">
      <c r="B41" t="s">
        <v>743</v>
      </c>
    </row>
    <row r="42" spans="2:2">
      <c r="B42" t="s">
        <v>348</v>
      </c>
    </row>
    <row r="43" spans="2:2">
      <c r="B43" t="s">
        <v>744</v>
      </c>
    </row>
    <row r="44" spans="2:2">
      <c r="B44" t="s">
        <v>745</v>
      </c>
    </row>
    <row r="45" spans="2:2">
      <c r="B45" t="s">
        <v>746</v>
      </c>
    </row>
    <row r="46" spans="2:2">
      <c r="B46" t="s">
        <v>747</v>
      </c>
    </row>
    <row r="47" spans="2:2">
      <c r="B47" t="s">
        <v>748</v>
      </c>
    </row>
    <row r="48" spans="2:2">
      <c r="B48" t="s">
        <v>749</v>
      </c>
    </row>
    <row r="49" spans="2:2">
      <c r="B49" t="s">
        <v>750</v>
      </c>
    </row>
    <row r="50" spans="2:2">
      <c r="B50" t="s">
        <v>751</v>
      </c>
    </row>
    <row r="51" spans="2:2">
      <c r="B51" t="s">
        <v>752</v>
      </c>
    </row>
    <row r="52" spans="2:2">
      <c r="B52" t="s">
        <v>332</v>
      </c>
    </row>
    <row r="53" spans="2:2">
      <c r="B53" t="s">
        <v>753</v>
      </c>
    </row>
    <row r="54" spans="2:2">
      <c r="B54" t="s">
        <v>754</v>
      </c>
    </row>
    <row r="56" spans="2:2">
      <c r="B56" t="s">
        <v>755</v>
      </c>
    </row>
    <row r="57" spans="2:2">
      <c r="B57" t="s">
        <v>756</v>
      </c>
    </row>
    <row r="58" spans="2:2">
      <c r="B58" t="s">
        <v>343</v>
      </c>
    </row>
    <row r="60" spans="2:2">
      <c r="B60" t="s">
        <v>757</v>
      </c>
    </row>
    <row r="61" spans="2:2">
      <c r="B61" t="s">
        <v>758</v>
      </c>
    </row>
    <row r="62" spans="2:2">
      <c r="B62" t="s">
        <v>343</v>
      </c>
    </row>
    <row r="64" spans="2:2">
      <c r="B64" t="s">
        <v>759</v>
      </c>
    </row>
    <row r="65" spans="2:2">
      <c r="B65" t="s">
        <v>760</v>
      </c>
    </row>
    <row r="66" spans="2:2">
      <c r="B66" t="s">
        <v>343</v>
      </c>
    </row>
    <row r="68" spans="2:2">
      <c r="B68" t="s">
        <v>761</v>
      </c>
    </row>
    <row r="69" spans="2:2">
      <c r="B69" t="s">
        <v>762</v>
      </c>
    </row>
    <row r="70" spans="2:2">
      <c r="B70" t="s">
        <v>343</v>
      </c>
    </row>
    <row r="72" spans="2:2">
      <c r="B72" t="s">
        <v>763</v>
      </c>
    </row>
    <row r="73" spans="2:2">
      <c r="B73" t="s">
        <v>764</v>
      </c>
    </row>
    <row r="74" spans="2:2">
      <c r="B74" t="s">
        <v>343</v>
      </c>
    </row>
    <row r="76" spans="2:2">
      <c r="B76" t="s">
        <v>765</v>
      </c>
    </row>
    <row r="77" spans="2:2">
      <c r="B77" t="s">
        <v>766</v>
      </c>
    </row>
    <row r="78" spans="2:2">
      <c r="B78" t="s">
        <v>343</v>
      </c>
    </row>
    <row r="80" spans="2:2">
      <c r="B80" t="s">
        <v>767</v>
      </c>
    </row>
    <row r="81" spans="2:2">
      <c r="B81" t="s">
        <v>768</v>
      </c>
    </row>
    <row r="82" spans="2:2">
      <c r="B82" t="s">
        <v>343</v>
      </c>
    </row>
    <row r="84" spans="2:2">
      <c r="B84" t="s">
        <v>769</v>
      </c>
    </row>
    <row r="85" spans="2:2">
      <c r="B85" t="s">
        <v>770</v>
      </c>
    </row>
    <row r="86" spans="2:2">
      <c r="B86" t="s">
        <v>771</v>
      </c>
    </row>
    <row r="87" spans="2:2">
      <c r="B87" t="s">
        <v>772</v>
      </c>
    </row>
    <row r="88" spans="2:2">
      <c r="B88" t="s">
        <v>773</v>
      </c>
    </row>
    <row r="89" spans="2:2">
      <c r="B89" t="s">
        <v>774</v>
      </c>
    </row>
    <row r="91" spans="2:2">
      <c r="B91" t="s">
        <v>775</v>
      </c>
    </row>
    <row r="92" spans="2:2">
      <c r="B92" t="s">
        <v>776</v>
      </c>
    </row>
    <row r="93" spans="2:2">
      <c r="B93" t="s">
        <v>343</v>
      </c>
    </row>
    <row r="95" spans="2:2">
      <c r="B95" t="s">
        <v>777</v>
      </c>
    </row>
    <row r="97" spans="2:2">
      <c r="B97" t="s">
        <v>778</v>
      </c>
    </row>
    <row r="98" spans="2:2">
      <c r="B98" t="s">
        <v>334</v>
      </c>
    </row>
    <row r="99" spans="2:2">
      <c r="B99" t="s">
        <v>779</v>
      </c>
    </row>
    <row r="100" spans="2:2">
      <c r="B100" t="s">
        <v>780</v>
      </c>
    </row>
    <row r="101" spans="2:2">
      <c r="B101" t="s">
        <v>781</v>
      </c>
    </row>
    <row r="102" spans="2:2">
      <c r="B102" t="s">
        <v>782</v>
      </c>
    </row>
    <row r="103" spans="2:2">
      <c r="B103" t="s">
        <v>783</v>
      </c>
    </row>
    <row r="104" spans="2:2">
      <c r="B104" t="s">
        <v>784</v>
      </c>
    </row>
    <row r="105" spans="2:2">
      <c r="B105" t="s">
        <v>785</v>
      </c>
    </row>
    <row r="106" spans="2:2">
      <c r="B106" t="s">
        <v>786</v>
      </c>
    </row>
    <row r="107" spans="2:2">
      <c r="B107" t="s">
        <v>787</v>
      </c>
    </row>
    <row r="108" spans="2:2">
      <c r="B108" t="s">
        <v>788</v>
      </c>
    </row>
    <row r="109" spans="2:2">
      <c r="B109" t="s">
        <v>789</v>
      </c>
    </row>
    <row r="111" spans="2:2">
      <c r="B111" t="s">
        <v>790</v>
      </c>
    </row>
    <row r="112" spans="2:2">
      <c r="B112" t="s">
        <v>791</v>
      </c>
    </row>
    <row r="113" spans="2:2">
      <c r="B113" t="s">
        <v>343</v>
      </c>
    </row>
    <row r="115" spans="2:2">
      <c r="B115" t="s">
        <v>778</v>
      </c>
    </row>
    <row r="116" spans="2:2">
      <c r="B116" t="s">
        <v>334</v>
      </c>
    </row>
    <row r="117" spans="2:2">
      <c r="B117" t="s">
        <v>792</v>
      </c>
    </row>
    <row r="118" spans="2:2">
      <c r="B118" t="s">
        <v>793</v>
      </c>
    </row>
    <row r="119" spans="2:2">
      <c r="B119" t="s">
        <v>794</v>
      </c>
    </row>
    <row r="120" spans="2:2">
      <c r="B120" t="s">
        <v>795</v>
      </c>
    </row>
    <row r="121" spans="2:2">
      <c r="B121" t="s">
        <v>311</v>
      </c>
    </row>
    <row r="122" spans="2:2">
      <c r="B122" t="s">
        <v>796</v>
      </c>
    </row>
    <row r="123" spans="2:2">
      <c r="B123" t="s">
        <v>797</v>
      </c>
    </row>
    <row r="124" spans="2:2">
      <c r="B124" t="s">
        <v>314</v>
      </c>
    </row>
    <row r="125" spans="2:2">
      <c r="B125" t="s">
        <v>798</v>
      </c>
    </row>
    <row r="126" spans="2:2">
      <c r="B126" t="s">
        <v>799</v>
      </c>
    </row>
    <row r="127" spans="2:2">
      <c r="B127" t="s">
        <v>788</v>
      </c>
    </row>
    <row r="128" spans="2:2">
      <c r="B128" t="s">
        <v>800</v>
      </c>
    </row>
    <row r="130" spans="2:2">
      <c r="B130" t="s">
        <v>801</v>
      </c>
    </row>
    <row r="131" spans="2:2">
      <c r="B131" t="s">
        <v>802</v>
      </c>
    </row>
    <row r="132" spans="2:2">
      <c r="B132" t="s">
        <v>343</v>
      </c>
    </row>
    <row r="134" spans="2:2">
      <c r="B134" t="s">
        <v>803</v>
      </c>
    </row>
    <row r="135" spans="2:2">
      <c r="B135" t="s">
        <v>804</v>
      </c>
    </row>
    <row r="136" spans="2:2">
      <c r="B136" t="s">
        <v>805</v>
      </c>
    </row>
    <row r="137" spans="2:2">
      <c r="B137" t="s">
        <v>806</v>
      </c>
    </row>
    <row r="138" spans="2:2">
      <c r="B138" t="s">
        <v>807</v>
      </c>
    </row>
    <row r="139" spans="2:2">
      <c r="B139" t="s">
        <v>808</v>
      </c>
    </row>
    <row r="140" spans="2:2">
      <c r="B140" t="s">
        <v>809</v>
      </c>
    </row>
    <row r="141" spans="2:2">
      <c r="B141" t="s">
        <v>321</v>
      </c>
    </row>
    <row r="142" spans="2:2">
      <c r="B142" t="s">
        <v>774</v>
      </c>
    </row>
    <row r="144" spans="2:2">
      <c r="B144" t="s">
        <v>810</v>
      </c>
    </row>
    <row r="145" spans="2:2">
      <c r="B145" t="s">
        <v>811</v>
      </c>
    </row>
    <row r="146" spans="2:2">
      <c r="B146" t="s">
        <v>812</v>
      </c>
    </row>
    <row r="147" spans="2:2">
      <c r="B147" t="s">
        <v>813</v>
      </c>
    </row>
    <row r="148" spans="2:2">
      <c r="B148" t="s">
        <v>814</v>
      </c>
    </row>
    <row r="149" spans="2:2">
      <c r="B149" t="s">
        <v>815</v>
      </c>
    </row>
    <row r="150" spans="2:2">
      <c r="B150" t="s">
        <v>816</v>
      </c>
    </row>
    <row r="151" spans="2:2">
      <c r="B151" t="s">
        <v>817</v>
      </c>
    </row>
    <row r="152" spans="2:2">
      <c r="B152" t="s">
        <v>818</v>
      </c>
    </row>
    <row r="153" spans="2:2">
      <c r="B153" t="s">
        <v>819</v>
      </c>
    </row>
    <row r="154" spans="2:2">
      <c r="B154" t="s">
        <v>820</v>
      </c>
    </row>
    <row r="155" spans="2:2">
      <c r="B155" t="s">
        <v>821</v>
      </c>
    </row>
    <row r="156" spans="2:2">
      <c r="B156" t="s">
        <v>822</v>
      </c>
    </row>
    <row r="157" spans="2:2">
      <c r="B157" t="s">
        <v>823</v>
      </c>
    </row>
    <row r="158" spans="2:2">
      <c r="B158" t="s">
        <v>824</v>
      </c>
    </row>
    <row r="159" spans="2:2">
      <c r="B159" t="s">
        <v>321</v>
      </c>
    </row>
    <row r="160" spans="2:2">
      <c r="B160" t="s">
        <v>825</v>
      </c>
    </row>
    <row r="161" spans="2:2">
      <c r="B161" t="s">
        <v>826</v>
      </c>
    </row>
    <row r="162" spans="2:2">
      <c r="B162" t="s">
        <v>827</v>
      </c>
    </row>
    <row r="163" spans="2:2">
      <c r="B163" t="s">
        <v>828</v>
      </c>
    </row>
    <row r="164" spans="2:2">
      <c r="B164" t="s">
        <v>829</v>
      </c>
    </row>
    <row r="165" spans="2:2">
      <c r="B165" t="s">
        <v>830</v>
      </c>
    </row>
    <row r="166" spans="2:2">
      <c r="B166" t="s">
        <v>831</v>
      </c>
    </row>
    <row r="167" spans="2:2">
      <c r="B167" t="s">
        <v>832</v>
      </c>
    </row>
    <row r="168" spans="2:2">
      <c r="B168" t="s">
        <v>833</v>
      </c>
    </row>
    <row r="169" spans="2:2">
      <c r="B169" t="s">
        <v>834</v>
      </c>
    </row>
    <row r="170" spans="2:2">
      <c r="B170" t="s">
        <v>343</v>
      </c>
    </row>
    <row r="172" spans="2:2">
      <c r="B172" t="s">
        <v>835</v>
      </c>
    </row>
    <row r="173" spans="2:2">
      <c r="B173" t="s">
        <v>836</v>
      </c>
    </row>
    <row r="174" spans="2:2">
      <c r="B174" t="s">
        <v>837</v>
      </c>
    </row>
    <row r="175" spans="2:2">
      <c r="B175" t="s">
        <v>838</v>
      </c>
    </row>
    <row r="176" spans="2:2">
      <c r="B176" t="s">
        <v>839</v>
      </c>
    </row>
    <row r="177" spans="2:2">
      <c r="B177" t="s">
        <v>840</v>
      </c>
    </row>
    <row r="178" spans="2:2">
      <c r="B178" t="s">
        <v>841</v>
      </c>
    </row>
    <row r="179" spans="2:2">
      <c r="B179" t="s">
        <v>842</v>
      </c>
    </row>
    <row r="180" spans="2:2">
      <c r="B180" t="s">
        <v>843</v>
      </c>
    </row>
    <row r="181" spans="2:2">
      <c r="B181" t="s">
        <v>844</v>
      </c>
    </row>
    <row r="182" spans="2:2">
      <c r="B182" t="s">
        <v>845</v>
      </c>
    </row>
    <row r="183" spans="2:2">
      <c r="B183" t="s">
        <v>846</v>
      </c>
    </row>
    <row r="184" spans="2:2">
      <c r="B184" t="s">
        <v>847</v>
      </c>
    </row>
    <row r="185" spans="2:2">
      <c r="B185" t="s">
        <v>848</v>
      </c>
    </row>
    <row r="186" spans="2:2">
      <c r="B186" t="s">
        <v>849</v>
      </c>
    </row>
    <row r="187" spans="2:2">
      <c r="B187" t="s">
        <v>850</v>
      </c>
    </row>
    <row r="188" spans="2:2">
      <c r="B188" t="s">
        <v>851</v>
      </c>
    </row>
    <row r="189" spans="2:2">
      <c r="B189" t="s">
        <v>852</v>
      </c>
    </row>
    <row r="190" spans="2:2">
      <c r="B190" t="s">
        <v>853</v>
      </c>
    </row>
    <row r="191" spans="2:2">
      <c r="B191" t="s">
        <v>854</v>
      </c>
    </row>
    <row r="192" spans="2:2">
      <c r="B192" t="s">
        <v>704</v>
      </c>
    </row>
    <row r="193" spans="2:2">
      <c r="B193" t="s">
        <v>855</v>
      </c>
    </row>
    <row r="195" spans="2:2">
      <c r="B195" t="s">
        <v>856</v>
      </c>
    </row>
    <row r="196" spans="2:2">
      <c r="B196" t="s">
        <v>857</v>
      </c>
    </row>
    <row r="197" spans="2:2">
      <c r="B197" t="s">
        <v>858</v>
      </c>
    </row>
    <row r="198" spans="2:2">
      <c r="B198" t="s">
        <v>847</v>
      </c>
    </row>
    <row r="199" spans="2:2">
      <c r="B199" t="s">
        <v>859</v>
      </c>
    </row>
    <row r="200" spans="2:2">
      <c r="B200" t="s">
        <v>860</v>
      </c>
    </row>
    <row r="201" spans="2:2">
      <c r="B201" t="s">
        <v>351</v>
      </c>
    </row>
    <row r="202" spans="2:2">
      <c r="B202" t="s">
        <v>352</v>
      </c>
    </row>
    <row r="204" spans="2:2">
      <c r="B204" t="s">
        <v>861</v>
      </c>
    </row>
    <row r="205" spans="2:2">
      <c r="B205" t="s">
        <v>862</v>
      </c>
    </row>
    <row r="206" spans="2:2">
      <c r="B206" t="s">
        <v>863</v>
      </c>
    </row>
    <row r="207" spans="2:2">
      <c r="B207" t="s">
        <v>864</v>
      </c>
    </row>
    <row r="208" spans="2:2">
      <c r="B208" t="s">
        <v>864</v>
      </c>
    </row>
    <row r="209" spans="2:2">
      <c r="B209" t="s">
        <v>862</v>
      </c>
    </row>
    <row r="210" spans="2:2">
      <c r="B210" t="s">
        <v>862</v>
      </c>
    </row>
    <row r="211" spans="2:2">
      <c r="B211" t="s">
        <v>862</v>
      </c>
    </row>
    <row r="212" spans="2:2">
      <c r="B212" t="s">
        <v>862</v>
      </c>
    </row>
    <row r="213" spans="2:2">
      <c r="B213" t="s">
        <v>862</v>
      </c>
    </row>
    <row r="214" spans="2:2">
      <c r="B214" t="s">
        <v>862</v>
      </c>
    </row>
    <row r="215" spans="2:2">
      <c r="B215" t="s">
        <v>865</v>
      </c>
    </row>
    <row r="216" spans="2:2">
      <c r="B216" t="s">
        <v>866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5B60-1D32-4A98-9D6E-7760A7E178CB}">
  <dimension ref="B3:B93"/>
  <sheetViews>
    <sheetView topLeftCell="A70" workbookViewId="0">
      <selection activeCell="B83" sqref="B83:B93"/>
    </sheetView>
  </sheetViews>
  <sheetFormatPr baseColWidth="10" defaultRowHeight="15"/>
  <sheetData>
    <row r="3" spans="2:2">
      <c r="B3" t="s">
        <v>654</v>
      </c>
    </row>
    <row r="4" spans="2:2">
      <c r="B4" t="s">
        <v>655</v>
      </c>
    </row>
    <row r="5" spans="2:2">
      <c r="B5" t="s">
        <v>656</v>
      </c>
    </row>
    <row r="6" spans="2:2">
      <c r="B6" t="s">
        <v>657</v>
      </c>
    </row>
    <row r="7" spans="2:2">
      <c r="B7" t="s">
        <v>622</v>
      </c>
    </row>
    <row r="8" spans="2:2">
      <c r="B8" t="s">
        <v>658</v>
      </c>
    </row>
    <row r="9" spans="2:2">
      <c r="B9" t="s">
        <v>659</v>
      </c>
    </row>
    <row r="10" spans="2:2">
      <c r="B10" t="s">
        <v>660</v>
      </c>
    </row>
    <row r="11" spans="2:2">
      <c r="B11" t="s">
        <v>661</v>
      </c>
    </row>
    <row r="12" spans="2:2">
      <c r="B12" t="s">
        <v>662</v>
      </c>
    </row>
    <row r="13" spans="2:2">
      <c r="B13" t="s">
        <v>663</v>
      </c>
    </row>
    <row r="14" spans="2:2">
      <c r="B14" t="s">
        <v>664</v>
      </c>
    </row>
    <row r="15" spans="2:2">
      <c r="B15" t="s">
        <v>665</v>
      </c>
    </row>
    <row r="16" spans="2:2">
      <c r="B16" t="s">
        <v>666</v>
      </c>
    </row>
    <row r="17" spans="2:2">
      <c r="B17" t="s">
        <v>667</v>
      </c>
    </row>
    <row r="18" spans="2:2">
      <c r="B18" t="s">
        <v>668</v>
      </c>
    </row>
    <row r="19" spans="2:2">
      <c r="B19" t="s">
        <v>669</v>
      </c>
    </row>
    <row r="20" spans="2:2">
      <c r="B20" t="s">
        <v>670</v>
      </c>
    </row>
    <row r="22" spans="2:2">
      <c r="B22" t="s">
        <v>671</v>
      </c>
    </row>
    <row r="23" spans="2:2">
      <c r="B23" t="e" cm="1">
        <f t="array" ref="B23">-- solo expone reglas activas asociadas al flujo Google Calendar.</f>
        <v>#NAME?</v>
      </c>
    </row>
    <row r="24" spans="2:2">
      <c r="B24" t="s">
        <v>672</v>
      </c>
    </row>
    <row r="25" spans="2:2">
      <c r="B25" t="s">
        <v>657</v>
      </c>
    </row>
    <row r="26" spans="2:2">
      <c r="B26" t="s">
        <v>622</v>
      </c>
    </row>
    <row r="27" spans="2:2">
      <c r="B27" t="s">
        <v>623</v>
      </c>
    </row>
    <row r="28" spans="2:2">
      <c r="B28" t="s">
        <v>624</v>
      </c>
    </row>
    <row r="29" spans="2:2">
      <c r="B29" t="s">
        <v>625</v>
      </c>
    </row>
    <row r="30" spans="2:2">
      <c r="B30" t="s">
        <v>626</v>
      </c>
    </row>
    <row r="31" spans="2:2">
      <c r="B31" t="s">
        <v>627</v>
      </c>
    </row>
    <row r="32" spans="2:2">
      <c r="B32" t="s">
        <v>628</v>
      </c>
    </row>
    <row r="33" spans="2:2">
      <c r="B33" t="s">
        <v>629</v>
      </c>
    </row>
    <row r="34" spans="2:2">
      <c r="B34" t="s">
        <v>630</v>
      </c>
    </row>
    <row r="35" spans="2:2">
      <c r="B35" t="s">
        <v>673</v>
      </c>
    </row>
    <row r="36" spans="2:2">
      <c r="B36" t="s">
        <v>674</v>
      </c>
    </row>
    <row r="37" spans="2:2">
      <c r="B37" t="s">
        <v>675</v>
      </c>
    </row>
    <row r="38" spans="2:2">
      <c r="B38" t="s">
        <v>676</v>
      </c>
    </row>
    <row r="40" spans="2:2">
      <c r="B40" t="s">
        <v>677</v>
      </c>
    </row>
    <row r="41" spans="2:2">
      <c r="B41" t="s">
        <v>678</v>
      </c>
    </row>
    <row r="42" spans="2:2">
      <c r="B42" t="s">
        <v>679</v>
      </c>
    </row>
    <row r="43" spans="2:2">
      <c r="B43" t="s">
        <v>657</v>
      </c>
    </row>
    <row r="44" spans="2:2">
      <c r="B44" t="s">
        <v>623</v>
      </c>
    </row>
    <row r="45" spans="2:2">
      <c r="B45" t="s">
        <v>680</v>
      </c>
    </row>
    <row r="46" spans="2:2">
      <c r="B46" t="s">
        <v>625</v>
      </c>
    </row>
    <row r="47" spans="2:2">
      <c r="B47" t="s">
        <v>626</v>
      </c>
    </row>
    <row r="48" spans="2:2">
      <c r="B48" t="s">
        <v>681</v>
      </c>
    </row>
    <row r="49" spans="2:2">
      <c r="B49" t="s">
        <v>682</v>
      </c>
    </row>
    <row r="50" spans="2:2">
      <c r="B50" t="s">
        <v>683</v>
      </c>
    </row>
    <row r="52" spans="2:2">
      <c r="B52" t="s">
        <v>684</v>
      </c>
    </row>
    <row r="53" spans="2:2">
      <c r="B53" t="s">
        <v>685</v>
      </c>
    </row>
    <row r="54" spans="2:2">
      <c r="B54" t="s">
        <v>686</v>
      </c>
    </row>
    <row r="55" spans="2:2">
      <c r="B55" t="s">
        <v>687</v>
      </c>
    </row>
    <row r="57" spans="2:2">
      <c r="B57" t="s">
        <v>688</v>
      </c>
    </row>
    <row r="58" spans="2:2">
      <c r="B58" t="s">
        <v>689</v>
      </c>
    </row>
    <row r="59" spans="2:2">
      <c r="B59" t="s">
        <v>690</v>
      </c>
    </row>
    <row r="60" spans="2:2">
      <c r="B60" t="s">
        <v>691</v>
      </c>
    </row>
    <row r="61" spans="2:2">
      <c r="B61" t="s">
        <v>692</v>
      </c>
    </row>
    <row r="62" spans="2:2">
      <c r="B62" t="s">
        <v>693</v>
      </c>
    </row>
    <row r="63" spans="2:2">
      <c r="B63" t="s">
        <v>694</v>
      </c>
    </row>
    <row r="64" spans="2:2">
      <c r="B64" t="s">
        <v>695</v>
      </c>
    </row>
    <row r="65" spans="2:2">
      <c r="B65" t="s">
        <v>696</v>
      </c>
    </row>
    <row r="66" spans="2:2">
      <c r="B66" t="s">
        <v>697</v>
      </c>
    </row>
    <row r="67" spans="2:2">
      <c r="B67" t="s">
        <v>698</v>
      </c>
    </row>
    <row r="68" spans="2:2">
      <c r="B68" t="s">
        <v>699</v>
      </c>
    </row>
    <row r="69" spans="2:2">
      <c r="B69" t="s">
        <v>700</v>
      </c>
    </row>
    <row r="70" spans="2:2">
      <c r="B70" t="s">
        <v>701</v>
      </c>
    </row>
    <row r="71" spans="2:2">
      <c r="B71" t="s">
        <v>702</v>
      </c>
    </row>
    <row r="72" spans="2:2">
      <c r="B72" t="s">
        <v>703</v>
      </c>
    </row>
    <row r="73" spans="2:2">
      <c r="B73" t="s">
        <v>704</v>
      </c>
    </row>
    <row r="74" spans="2:2">
      <c r="B74" t="s">
        <v>705</v>
      </c>
    </row>
    <row r="76" spans="2:2">
      <c r="B76" s="23" t="s">
        <v>706</v>
      </c>
    </row>
    <row r="77" spans="2:2">
      <c r="B77" s="6"/>
    </row>
    <row r="78" spans="2:2">
      <c r="B78" s="23" t="s">
        <v>707</v>
      </c>
    </row>
    <row r="79" spans="2:2">
      <c r="B79" s="23" t="s">
        <v>708</v>
      </c>
    </row>
    <row r="80" spans="2:2">
      <c r="B80" s="23" t="s">
        <v>709</v>
      </c>
    </row>
    <row r="83" spans="2:2">
      <c r="B83" s="23" t="s">
        <v>710</v>
      </c>
    </row>
    <row r="84" spans="2:2">
      <c r="B84" s="23" t="s">
        <v>711</v>
      </c>
    </row>
    <row r="85" spans="2:2">
      <c r="B85" s="6"/>
    </row>
    <row r="86" spans="2:2">
      <c r="B86" s="23" t="s">
        <v>712</v>
      </c>
    </row>
    <row r="87" spans="2:2">
      <c r="B87" s="23" t="s">
        <v>713</v>
      </c>
    </row>
    <row r="88" spans="2:2">
      <c r="B88" s="6"/>
    </row>
    <row r="89" spans="2:2">
      <c r="B89" s="23" t="s">
        <v>714</v>
      </c>
    </row>
    <row r="90" spans="2:2">
      <c r="B90" s="23" t="s">
        <v>715</v>
      </c>
    </row>
    <row r="91" spans="2:2">
      <c r="B91" s="6"/>
    </row>
    <row r="92" spans="2:2">
      <c r="B92" s="23" t="s">
        <v>716</v>
      </c>
    </row>
    <row r="93" spans="2:2">
      <c r="B93" s="23" t="s">
        <v>717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E7500-9E04-428F-8213-B4B9495830D5}">
  <dimension ref="C3:L69"/>
  <sheetViews>
    <sheetView workbookViewId="0">
      <selection activeCell="L65" sqref="L65:L69"/>
    </sheetView>
  </sheetViews>
  <sheetFormatPr baseColWidth="10" defaultRowHeight="15"/>
  <sheetData>
    <row r="3" spans="3:12">
      <c r="C3" s="2" t="s">
        <v>0</v>
      </c>
      <c r="D3" s="3" t="s">
        <v>2</v>
      </c>
      <c r="E3" s="2" t="s">
        <v>3</v>
      </c>
      <c r="F3" s="2"/>
      <c r="G3" s="3" t="s">
        <v>5</v>
      </c>
      <c r="H3" s="2" t="s">
        <v>16</v>
      </c>
    </row>
    <row r="4" spans="3:12">
      <c r="C4">
        <v>1</v>
      </c>
      <c r="D4" t="s">
        <v>241</v>
      </c>
      <c r="L4" t="s">
        <v>240</v>
      </c>
    </row>
    <row r="5" spans="3:12">
      <c r="C5">
        <v>2</v>
      </c>
      <c r="D5" t="s">
        <v>242</v>
      </c>
    </row>
    <row r="6" spans="3:12">
      <c r="C6">
        <v>3</v>
      </c>
      <c r="D6" t="s">
        <v>243</v>
      </c>
      <c r="L6" t="s">
        <v>241</v>
      </c>
    </row>
    <row r="7" spans="3:12">
      <c r="C7">
        <v>4</v>
      </c>
      <c r="D7" t="s">
        <v>244</v>
      </c>
    </row>
    <row r="8" spans="3:12">
      <c r="C8">
        <v>5</v>
      </c>
      <c r="D8" t="s">
        <v>245</v>
      </c>
      <c r="L8" t="s">
        <v>242</v>
      </c>
    </row>
    <row r="9" spans="3:12">
      <c r="C9">
        <v>6</v>
      </c>
      <c r="D9" t="s">
        <v>246</v>
      </c>
    </row>
    <row r="10" spans="3:12">
      <c r="C10">
        <v>7</v>
      </c>
      <c r="D10" t="s">
        <v>247</v>
      </c>
      <c r="L10" t="s">
        <v>243</v>
      </c>
    </row>
    <row r="11" spans="3:12">
      <c r="C11">
        <v>8</v>
      </c>
      <c r="D11" t="s">
        <v>248</v>
      </c>
    </row>
    <row r="12" spans="3:12">
      <c r="C12">
        <v>9</v>
      </c>
      <c r="D12" t="s">
        <v>249</v>
      </c>
      <c r="L12" t="s">
        <v>244</v>
      </c>
    </row>
    <row r="13" spans="3:12">
      <c r="C13">
        <v>10</v>
      </c>
      <c r="D13" t="s">
        <v>250</v>
      </c>
    </row>
    <row r="14" spans="3:12">
      <c r="C14">
        <v>11</v>
      </c>
      <c r="D14" t="s">
        <v>251</v>
      </c>
      <c r="L14" t="s">
        <v>245</v>
      </c>
    </row>
    <row r="16" spans="3:12">
      <c r="L16" t="s">
        <v>246</v>
      </c>
    </row>
    <row r="18" spans="12:12">
      <c r="L18" t="s">
        <v>247</v>
      </c>
    </row>
    <row r="20" spans="12:12">
      <c r="L20" t="s">
        <v>248</v>
      </c>
    </row>
    <row r="22" spans="12:12">
      <c r="L22" t="s">
        <v>249</v>
      </c>
    </row>
    <row r="24" spans="12:12">
      <c r="L24" t="s">
        <v>250</v>
      </c>
    </row>
    <row r="26" spans="12:12">
      <c r="L26" t="s">
        <v>251</v>
      </c>
    </row>
    <row r="28" spans="12:12">
      <c r="L28" t="s">
        <v>40</v>
      </c>
    </row>
    <row r="31" spans="12:12">
      <c r="L31" t="s">
        <v>252</v>
      </c>
    </row>
    <row r="33" spans="12:12">
      <c r="L33" t="s">
        <v>253</v>
      </c>
    </row>
    <row r="34" spans="12:12">
      <c r="L34" t="s">
        <v>254</v>
      </c>
    </row>
    <row r="35" spans="12:12">
      <c r="L35" t="s">
        <v>255</v>
      </c>
    </row>
    <row r="36" spans="12:12">
      <c r="L36" t="s">
        <v>256</v>
      </c>
    </row>
    <row r="38" spans="12:12">
      <c r="L38" t="s">
        <v>257</v>
      </c>
    </row>
    <row r="39" spans="12:12">
      <c r="L39" t="s">
        <v>254</v>
      </c>
    </row>
    <row r="40" spans="12:12">
      <c r="L40" t="s">
        <v>258</v>
      </c>
    </row>
    <row r="41" spans="12:12">
      <c r="L41" t="s">
        <v>259</v>
      </c>
    </row>
    <row r="43" spans="12:12">
      <c r="L43" t="s">
        <v>260</v>
      </c>
    </row>
    <row r="44" spans="12:12">
      <c r="L44" t="s">
        <v>254</v>
      </c>
    </row>
    <row r="45" spans="12:12">
      <c r="L45" t="s">
        <v>261</v>
      </c>
    </row>
    <row r="46" spans="12:12">
      <c r="L46" t="s">
        <v>262</v>
      </c>
    </row>
    <row r="47" spans="12:12">
      <c r="L47" t="s">
        <v>259</v>
      </c>
    </row>
    <row r="49" spans="11:12">
      <c r="L49" t="s">
        <v>263</v>
      </c>
    </row>
    <row r="50" spans="11:12">
      <c r="L50" t="s">
        <v>254</v>
      </c>
    </row>
    <row r="51" spans="11:12">
      <c r="L51" t="s">
        <v>264</v>
      </c>
    </row>
    <row r="52" spans="11:12">
      <c r="L52" t="s">
        <v>256</v>
      </c>
    </row>
    <row r="55" spans="11:12">
      <c r="K55" s="21"/>
      <c r="L55" t="s">
        <v>266</v>
      </c>
    </row>
    <row r="56" spans="11:12">
      <c r="L56" t="s">
        <v>267</v>
      </c>
    </row>
    <row r="57" spans="11:12">
      <c r="L57" t="s">
        <v>268</v>
      </c>
    </row>
    <row r="58" spans="11:12">
      <c r="L58" t="s">
        <v>269</v>
      </c>
    </row>
    <row r="60" spans="11:12">
      <c r="L60" s="20" t="s">
        <v>265</v>
      </c>
    </row>
    <row r="61" spans="11:12">
      <c r="L61" s="20" t="s">
        <v>272</v>
      </c>
    </row>
    <row r="62" spans="11:12">
      <c r="L62" s="20" t="s">
        <v>273</v>
      </c>
    </row>
    <row r="63" spans="11:12">
      <c r="L63" s="20" t="s">
        <v>274</v>
      </c>
    </row>
    <row r="65" spans="12:12">
      <c r="L65" s="20" t="s">
        <v>265</v>
      </c>
    </row>
    <row r="66" spans="12:12">
      <c r="L66" s="20" t="s">
        <v>286</v>
      </c>
    </row>
    <row r="67" spans="12:12">
      <c r="L67" s="20" t="s">
        <v>287</v>
      </c>
    </row>
    <row r="68" spans="12:12">
      <c r="L68" s="20" t="s">
        <v>288</v>
      </c>
    </row>
    <row r="69" spans="12:12">
      <c r="L69" s="20" t="s">
        <v>289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75D2C-925A-45C1-BB82-FE55C4BFFBF1}">
  <dimension ref="H3:H31"/>
  <sheetViews>
    <sheetView topLeftCell="A25" workbookViewId="0">
      <selection activeCell="H39" sqref="H39"/>
    </sheetView>
  </sheetViews>
  <sheetFormatPr baseColWidth="10" defaultRowHeight="15"/>
  <sheetData>
    <row r="3" spans="8:8">
      <c r="H3" s="23" t="s">
        <v>275</v>
      </c>
    </row>
    <row r="4" spans="8:8">
      <c r="H4" s="20" t="s">
        <v>276</v>
      </c>
    </row>
    <row r="5" spans="8:8">
      <c r="H5" s="6"/>
    </row>
    <row r="6" spans="8:8">
      <c r="H6" s="20" t="s">
        <v>277</v>
      </c>
    </row>
    <row r="7" spans="8:8">
      <c r="H7" s="20" t="s">
        <v>278</v>
      </c>
    </row>
    <row r="8" spans="8:8">
      <c r="H8" s="6"/>
    </row>
    <row r="9" spans="8:8">
      <c r="H9" s="20" t="s">
        <v>279</v>
      </c>
    </row>
    <row r="10" spans="8:8">
      <c r="H10" s="6"/>
    </row>
    <row r="11" spans="8:8">
      <c r="H11" s="20" t="s">
        <v>280</v>
      </c>
    </row>
    <row r="12" spans="8:8">
      <c r="H12" s="24" t="s">
        <v>40</v>
      </c>
    </row>
    <row r="15" spans="8:8">
      <c r="H15" t="s">
        <v>281</v>
      </c>
    </row>
    <row r="17" spans="8:8">
      <c r="H17" t="s">
        <v>282</v>
      </c>
    </row>
    <row r="18" spans="8:8">
      <c r="H18" t="s">
        <v>283</v>
      </c>
    </row>
    <row r="19" spans="8:8">
      <c r="H19" t="s">
        <v>255</v>
      </c>
    </row>
    <row r="20" spans="8:8">
      <c r="H20" t="s">
        <v>256</v>
      </c>
    </row>
    <row r="22" spans="8:8">
      <c r="H22" t="s">
        <v>284</v>
      </c>
    </row>
    <row r="23" spans="8:8">
      <c r="H23" t="s">
        <v>283</v>
      </c>
    </row>
    <row r="24" spans="8:8">
      <c r="H24" t="s">
        <v>258</v>
      </c>
    </row>
    <row r="25" spans="8:8">
      <c r="H25" t="s">
        <v>259</v>
      </c>
    </row>
    <row r="27" spans="8:8">
      <c r="H27" t="s">
        <v>285</v>
      </c>
    </row>
    <row r="28" spans="8:8">
      <c r="H28" t="s">
        <v>283</v>
      </c>
    </row>
    <row r="29" spans="8:8">
      <c r="H29" t="s">
        <v>261</v>
      </c>
    </row>
    <row r="30" spans="8:8">
      <c r="H30" t="s">
        <v>262</v>
      </c>
    </row>
    <row r="31" spans="8:8">
      <c r="H31" t="s">
        <v>259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J32"/>
  <sheetViews>
    <sheetView tabSelected="1" topLeftCell="A16" workbookViewId="0">
      <selection activeCell="C32" sqref="C32"/>
    </sheetView>
  </sheetViews>
  <sheetFormatPr baseColWidth="10" defaultRowHeight="15"/>
  <cols>
    <col min="3" max="3" width="14.5703125" customWidth="1"/>
    <col min="4" max="4" width="21.5703125" customWidth="1"/>
    <col min="5" max="5" width="18.85546875" customWidth="1"/>
    <col min="6" max="6" width="28.42578125" customWidth="1"/>
    <col min="7" max="8" width="22" customWidth="1"/>
  </cols>
  <sheetData>
    <row r="3" spans="3:10">
      <c r="C3" t="s">
        <v>0</v>
      </c>
      <c r="D3" t="s">
        <v>29</v>
      </c>
      <c r="E3" t="s">
        <v>30</v>
      </c>
    </row>
    <row r="4" spans="3:10">
      <c r="C4">
        <v>1</v>
      </c>
      <c r="D4" t="s">
        <v>28</v>
      </c>
      <c r="E4" t="s">
        <v>31</v>
      </c>
    </row>
    <row r="5" spans="3:10">
      <c r="C5">
        <v>2</v>
      </c>
      <c r="D5" t="s">
        <v>6</v>
      </c>
      <c r="E5" t="s">
        <v>7</v>
      </c>
    </row>
    <row r="7" spans="3:10">
      <c r="C7" t="s">
        <v>181</v>
      </c>
    </row>
    <row r="8" spans="3:10">
      <c r="C8" t="s">
        <v>229</v>
      </c>
      <c r="D8" t="s">
        <v>10</v>
      </c>
      <c r="E8" t="s">
        <v>11</v>
      </c>
      <c r="F8" t="s">
        <v>6</v>
      </c>
      <c r="G8" t="s">
        <v>231</v>
      </c>
      <c r="H8" t="s">
        <v>232</v>
      </c>
    </row>
    <row r="9" spans="3:10">
      <c r="C9" s="13" t="s">
        <v>183</v>
      </c>
      <c r="D9" s="14" t="s">
        <v>161</v>
      </c>
      <c r="E9" s="14" t="s">
        <v>171</v>
      </c>
      <c r="F9" s="15" t="s">
        <v>227</v>
      </c>
      <c r="G9" s="19" t="s">
        <v>228</v>
      </c>
      <c r="H9" s="19" t="s">
        <v>233</v>
      </c>
      <c r="I9" s="18">
        <v>29221</v>
      </c>
      <c r="J9" t="s">
        <v>225</v>
      </c>
    </row>
    <row r="10" spans="3:10">
      <c r="C10" s="13" t="s">
        <v>184</v>
      </c>
      <c r="D10" s="14" t="s">
        <v>162</v>
      </c>
      <c r="E10" s="14" t="s">
        <v>172</v>
      </c>
      <c r="F10" s="15" t="s">
        <v>230</v>
      </c>
      <c r="G10" s="15"/>
      <c r="H10" s="15"/>
      <c r="I10" s="18">
        <v>29587</v>
      </c>
      <c r="J10" t="s">
        <v>226</v>
      </c>
    </row>
    <row r="11" spans="3:10">
      <c r="C11" s="13" t="s">
        <v>185</v>
      </c>
      <c r="D11" s="14" t="s">
        <v>163</v>
      </c>
      <c r="E11" s="14" t="s">
        <v>173</v>
      </c>
      <c r="F11" s="15" t="s">
        <v>227</v>
      </c>
      <c r="G11" s="15"/>
      <c r="H11" s="15"/>
      <c r="I11" s="18">
        <v>29952</v>
      </c>
      <c r="J11" t="s">
        <v>226</v>
      </c>
    </row>
    <row r="12" spans="3:10">
      <c r="C12" s="13" t="s">
        <v>186</v>
      </c>
      <c r="D12" s="14" t="s">
        <v>164</v>
      </c>
      <c r="E12" s="14" t="s">
        <v>174</v>
      </c>
      <c r="F12" s="15" t="s">
        <v>227</v>
      </c>
      <c r="G12" s="15"/>
      <c r="H12" s="15"/>
      <c r="I12" s="18">
        <v>30317</v>
      </c>
      <c r="J12" t="s">
        <v>226</v>
      </c>
    </row>
    <row r="13" spans="3:10">
      <c r="C13" s="13" t="s">
        <v>187</v>
      </c>
      <c r="D13" s="14" t="s">
        <v>165</v>
      </c>
      <c r="E13" s="14" t="s">
        <v>175</v>
      </c>
      <c r="F13" s="15" t="s">
        <v>227</v>
      </c>
      <c r="G13" s="15"/>
      <c r="H13" s="15"/>
      <c r="I13" s="18">
        <v>30682</v>
      </c>
      <c r="J13" t="s">
        <v>226</v>
      </c>
    </row>
    <row r="14" spans="3:10">
      <c r="C14" s="13" t="s">
        <v>188</v>
      </c>
      <c r="D14" s="14" t="s">
        <v>166</v>
      </c>
      <c r="E14" s="14" t="s">
        <v>176</v>
      </c>
      <c r="F14" s="15" t="s">
        <v>227</v>
      </c>
      <c r="G14" s="15"/>
      <c r="H14" s="15"/>
      <c r="I14" s="18">
        <v>31048</v>
      </c>
      <c r="J14" t="s">
        <v>225</v>
      </c>
    </row>
    <row r="15" spans="3:10">
      <c r="C15" s="13" t="s">
        <v>189</v>
      </c>
      <c r="D15" s="14" t="s">
        <v>167</v>
      </c>
      <c r="E15" s="14" t="s">
        <v>177</v>
      </c>
      <c r="F15" s="15" t="s">
        <v>227</v>
      </c>
      <c r="G15" s="15"/>
      <c r="H15" s="15"/>
      <c r="I15" s="18">
        <v>31413</v>
      </c>
      <c r="J15" t="s">
        <v>225</v>
      </c>
    </row>
    <row r="16" spans="3:10">
      <c r="C16" s="13" t="s">
        <v>190</v>
      </c>
      <c r="D16" s="14" t="s">
        <v>168</v>
      </c>
      <c r="E16" s="14" t="s">
        <v>178</v>
      </c>
      <c r="F16" s="15" t="s">
        <v>227</v>
      </c>
      <c r="G16" s="15"/>
      <c r="H16" s="15"/>
      <c r="I16" s="18">
        <v>31778</v>
      </c>
      <c r="J16" t="s">
        <v>225</v>
      </c>
    </row>
    <row r="17" spans="3:10">
      <c r="C17" s="13" t="s">
        <v>191</v>
      </c>
      <c r="D17" s="14" t="s">
        <v>169</v>
      </c>
      <c r="E17" s="14" t="s">
        <v>179</v>
      </c>
      <c r="F17" s="15" t="s">
        <v>227</v>
      </c>
      <c r="G17" s="15"/>
      <c r="H17" s="15"/>
      <c r="I17" s="18">
        <v>32143</v>
      </c>
      <c r="J17" t="s">
        <v>225</v>
      </c>
    </row>
    <row r="18" spans="3:10">
      <c r="C18" s="13" t="s">
        <v>192</v>
      </c>
      <c r="D18" s="14" t="s">
        <v>170</v>
      </c>
      <c r="E18" s="14" t="s">
        <v>180</v>
      </c>
      <c r="F18" s="15" t="s">
        <v>227</v>
      </c>
      <c r="G18" s="15"/>
      <c r="H18" s="15"/>
      <c r="I18" s="18">
        <v>32509</v>
      </c>
      <c r="J18" t="s">
        <v>225</v>
      </c>
    </row>
    <row r="21" spans="3:10">
      <c r="C21" s="16" t="s">
        <v>182</v>
      </c>
    </row>
    <row r="23" spans="3:10">
      <c r="C23" s="17" t="s">
        <v>193</v>
      </c>
      <c r="D23" t="s">
        <v>203</v>
      </c>
      <c r="E23" t="s">
        <v>213</v>
      </c>
      <c r="F23" s="12" t="s">
        <v>223</v>
      </c>
      <c r="G23" t="s">
        <v>226</v>
      </c>
    </row>
    <row r="24" spans="3:10">
      <c r="C24" s="17" t="s">
        <v>194</v>
      </c>
      <c r="D24" t="s">
        <v>204</v>
      </c>
      <c r="E24" t="s">
        <v>214</v>
      </c>
      <c r="F24" s="12" t="s">
        <v>224</v>
      </c>
      <c r="G24" t="s">
        <v>226</v>
      </c>
    </row>
    <row r="25" spans="3:10">
      <c r="C25" s="17" t="s">
        <v>195</v>
      </c>
      <c r="D25" t="s">
        <v>205</v>
      </c>
      <c r="E25" t="s">
        <v>215</v>
      </c>
      <c r="F25" s="12" t="s">
        <v>223</v>
      </c>
      <c r="G25" t="s">
        <v>226</v>
      </c>
    </row>
    <row r="26" spans="3:10">
      <c r="C26" s="17" t="s">
        <v>196</v>
      </c>
      <c r="D26" t="s">
        <v>206</v>
      </c>
      <c r="E26" t="s">
        <v>216</v>
      </c>
      <c r="F26" s="12" t="s">
        <v>224</v>
      </c>
      <c r="G26" t="s">
        <v>226</v>
      </c>
    </row>
    <row r="27" spans="3:10">
      <c r="C27" s="17" t="s">
        <v>197</v>
      </c>
      <c r="D27" t="s">
        <v>207</v>
      </c>
      <c r="E27" t="s">
        <v>217</v>
      </c>
      <c r="F27" s="12" t="s">
        <v>223</v>
      </c>
      <c r="G27" t="s">
        <v>226</v>
      </c>
    </row>
    <row r="28" spans="3:10">
      <c r="C28" s="17" t="s">
        <v>198</v>
      </c>
      <c r="D28" t="s">
        <v>212</v>
      </c>
      <c r="E28" t="s">
        <v>218</v>
      </c>
      <c r="F28" s="12" t="s">
        <v>224</v>
      </c>
      <c r="G28" t="s">
        <v>225</v>
      </c>
    </row>
    <row r="29" spans="3:10">
      <c r="C29" s="17" t="s">
        <v>199</v>
      </c>
      <c r="D29" t="s">
        <v>211</v>
      </c>
      <c r="E29" t="s">
        <v>219</v>
      </c>
      <c r="F29" s="12" t="s">
        <v>223</v>
      </c>
      <c r="G29" t="s">
        <v>225</v>
      </c>
    </row>
    <row r="30" spans="3:10">
      <c r="C30" s="17" t="s">
        <v>200</v>
      </c>
      <c r="D30" t="s">
        <v>208</v>
      </c>
      <c r="E30" t="s">
        <v>220</v>
      </c>
      <c r="F30" s="12" t="s">
        <v>224</v>
      </c>
      <c r="G30" t="s">
        <v>225</v>
      </c>
    </row>
    <row r="31" spans="3:10">
      <c r="C31" s="17" t="s">
        <v>201</v>
      </c>
      <c r="D31" t="s">
        <v>209</v>
      </c>
      <c r="E31" t="s">
        <v>221</v>
      </c>
      <c r="F31" s="12" t="s">
        <v>223</v>
      </c>
      <c r="G31" t="s">
        <v>225</v>
      </c>
    </row>
    <row r="32" spans="3:10">
      <c r="C32" s="17" t="s">
        <v>202</v>
      </c>
      <c r="D32" t="s">
        <v>210</v>
      </c>
      <c r="E32" t="s">
        <v>222</v>
      </c>
      <c r="F32" s="12" t="s">
        <v>224</v>
      </c>
      <c r="G32" t="s">
        <v>225</v>
      </c>
    </row>
  </sheetData>
  <hyperlinks>
    <hyperlink ref="F9" r:id="rId1" xr:uid="{AFFDB479-78A1-4CC7-857E-642F4646C701}"/>
    <hyperlink ref="F23" r:id="rId2" xr:uid="{AF00F8FC-CC95-4A68-8559-6FFBFB84A437}"/>
    <hyperlink ref="F24" r:id="rId3" xr:uid="{76851668-29CD-4593-A538-F81AB54B0B15}"/>
    <hyperlink ref="F25" r:id="rId4" xr:uid="{EEA64A98-1278-4F02-8B87-B9DD2B2368AF}"/>
    <hyperlink ref="F26" r:id="rId5" xr:uid="{D64CB1B5-04CD-48F9-A173-0277CA0EFBBB}"/>
    <hyperlink ref="F27" r:id="rId6" xr:uid="{7A4F541B-2CBB-4FA2-9027-1D9D7F8DA74E}"/>
    <hyperlink ref="F28" r:id="rId7" xr:uid="{B3CD559E-F6F6-4AF8-A397-2E90F8EF9895}"/>
    <hyperlink ref="F29" r:id="rId8" xr:uid="{002E3AB6-5428-4311-8AA4-73026220BD32}"/>
    <hyperlink ref="F30" r:id="rId9" xr:uid="{FBF405A3-009C-4BEB-B0F3-C35C4A1C9195}"/>
    <hyperlink ref="F31" r:id="rId10" xr:uid="{5F633231-4916-4C94-B036-D7B7AE74F692}"/>
    <hyperlink ref="F32" r:id="rId11" xr:uid="{290C5EF7-059E-4B17-8112-509BD263E8CB}"/>
    <hyperlink ref="F10:F18" r:id="rId12" display="mentalia200@gmail.com" xr:uid="{68882482-319D-4317-988C-DEDC6C94B433}"/>
    <hyperlink ref="F10" r:id="rId13" xr:uid="{7D9D5BBF-E2A2-4FF6-9438-EA6674AB6CDE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7A340-4A79-4469-932E-51DDCA3EF087}">
  <dimension ref="B2:B173"/>
  <sheetViews>
    <sheetView topLeftCell="A130" workbookViewId="0">
      <selection activeCell="B2" sqref="B2:B173"/>
    </sheetView>
  </sheetViews>
  <sheetFormatPr baseColWidth="10" defaultRowHeight="15"/>
  <sheetData>
    <row r="2" spans="2:2">
      <c r="B2" t="s">
        <v>290</v>
      </c>
    </row>
    <row r="3" spans="2:2">
      <c r="B3" t="e" cm="1">
        <f t="array" ref="B3">-- TABLA: agenda_operativa</f>
        <v>#NAME?</v>
      </c>
    </row>
    <row r="4" spans="2:2">
      <c r="B4" t="s">
        <v>291</v>
      </c>
    </row>
    <row r="5" spans="2:2">
      <c r="B5" t="e" cm="1">
        <f t="array" ref="B5">-- Guardar la relación operativa entre un evento de Google Calendar</f>
        <v>#NAME?</v>
      </c>
    </row>
    <row r="6" spans="2:2">
      <c r="B6" t="s">
        <v>292</v>
      </c>
    </row>
    <row r="7" spans="2:2">
      <c r="B7" t="s">
        <v>290</v>
      </c>
    </row>
    <row r="9" spans="2:2">
      <c r="B9" t="s">
        <v>293</v>
      </c>
    </row>
    <row r="10" spans="2:2">
      <c r="B10" t="s">
        <v>241</v>
      </c>
    </row>
    <row r="12" spans="2:2">
      <c r="B12" t="s">
        <v>294</v>
      </c>
    </row>
    <row r="13" spans="2:2">
      <c r="B13" t="s">
        <v>295</v>
      </c>
    </row>
    <row r="15" spans="2:2">
      <c r="B15" t="s">
        <v>296</v>
      </c>
    </row>
    <row r="16" spans="2:2">
      <c r="B16" t="s">
        <v>297</v>
      </c>
    </row>
    <row r="17" spans="2:2">
      <c r="B17" t="s">
        <v>298</v>
      </c>
    </row>
    <row r="18" spans="2:2">
      <c r="B18" t="s">
        <v>299</v>
      </c>
    </row>
    <row r="20" spans="2:2">
      <c r="B20" t="s">
        <v>300</v>
      </c>
    </row>
    <row r="21" spans="2:2">
      <c r="B21" t="s">
        <v>301</v>
      </c>
    </row>
    <row r="23" spans="2:2">
      <c r="B23" t="s">
        <v>302</v>
      </c>
    </row>
    <row r="25" spans="2:2">
      <c r="B25" t="s">
        <v>303</v>
      </c>
    </row>
    <row r="26" spans="2:2">
      <c r="B26" t="s">
        <v>304</v>
      </c>
    </row>
    <row r="28" spans="2:2">
      <c r="B28" t="s">
        <v>305</v>
      </c>
    </row>
    <row r="29" spans="2:2">
      <c r="B29" t="s">
        <v>306</v>
      </c>
    </row>
    <row r="30" spans="2:2">
      <c r="B30" t="s">
        <v>307</v>
      </c>
    </row>
    <row r="31" spans="2:2">
      <c r="B31" t="s">
        <v>308</v>
      </c>
    </row>
    <row r="32" spans="2:2">
      <c r="B32" t="s">
        <v>309</v>
      </c>
    </row>
    <row r="33" spans="2:2">
      <c r="B33" t="s">
        <v>310</v>
      </c>
    </row>
    <row r="34" spans="2:2">
      <c r="B34" t="s">
        <v>311</v>
      </c>
    </row>
    <row r="35" spans="2:2">
      <c r="B35" t="s">
        <v>312</v>
      </c>
    </row>
    <row r="36" spans="2:2">
      <c r="B36" t="s">
        <v>313</v>
      </c>
    </row>
    <row r="37" spans="2:2">
      <c r="B37" t="s">
        <v>314</v>
      </c>
    </row>
    <row r="38" spans="2:2">
      <c r="B38" t="s">
        <v>315</v>
      </c>
    </row>
    <row r="40" spans="2:2">
      <c r="B40" t="s">
        <v>316</v>
      </c>
    </row>
    <row r="41" spans="2:2">
      <c r="B41" t="s">
        <v>306</v>
      </c>
    </row>
    <row r="42" spans="2:2">
      <c r="B42" t="s">
        <v>317</v>
      </c>
    </row>
    <row r="43" spans="2:2">
      <c r="B43" t="s">
        <v>318</v>
      </c>
    </row>
    <row r="44" spans="2:2">
      <c r="B44" t="s">
        <v>319</v>
      </c>
    </row>
    <row r="45" spans="2:2">
      <c r="B45" t="s">
        <v>320</v>
      </c>
    </row>
    <row r="46" spans="2:2">
      <c r="B46" t="s">
        <v>314</v>
      </c>
    </row>
    <row r="47" spans="2:2">
      <c r="B47" t="s">
        <v>321</v>
      </c>
    </row>
    <row r="48" spans="2:2">
      <c r="B48" t="s">
        <v>40</v>
      </c>
    </row>
    <row r="50" spans="2:2">
      <c r="B50" t="s">
        <v>290</v>
      </c>
    </row>
    <row r="51" spans="2:2">
      <c r="B51" t="e" cm="1">
        <f t="array" ref="B51">-- ÍNDICES</f>
        <v>#NAME?</v>
      </c>
    </row>
    <row r="52" spans="2:2">
      <c r="B52" t="s">
        <v>290</v>
      </c>
    </row>
    <row r="54" spans="2:2">
      <c r="B54" t="s">
        <v>322</v>
      </c>
    </row>
    <row r="55" spans="2:2">
      <c r="B55" t="s">
        <v>323</v>
      </c>
    </row>
    <row r="57" spans="2:2">
      <c r="B57" t="s">
        <v>324</v>
      </c>
    </row>
    <row r="58" spans="2:2">
      <c r="B58" t="s">
        <v>325</v>
      </c>
    </row>
    <row r="60" spans="2:2">
      <c r="B60" t="s">
        <v>326</v>
      </c>
    </row>
    <row r="61" spans="2:2">
      <c r="B61" t="s">
        <v>327</v>
      </c>
    </row>
    <row r="63" spans="2:2">
      <c r="B63" t="s">
        <v>328</v>
      </c>
    </row>
    <row r="64" spans="2:2">
      <c r="B64" t="s">
        <v>329</v>
      </c>
    </row>
    <row r="66" spans="2:2">
      <c r="B66" t="s">
        <v>290</v>
      </c>
    </row>
    <row r="67" spans="2:2">
      <c r="B67" t="e" cm="1">
        <f t="array" ref="B67">-- FOREIGN KEYS</f>
        <v>#NAME?</v>
      </c>
    </row>
    <row r="68" spans="2:2">
      <c r="B68" t="s">
        <v>330</v>
      </c>
    </row>
    <row r="69" spans="2:2">
      <c r="B69" t="s">
        <v>290</v>
      </c>
    </row>
    <row r="71" spans="2:2">
      <c r="B71" t="s">
        <v>331</v>
      </c>
    </row>
    <row r="72" spans="2:2">
      <c r="B72" t="s">
        <v>332</v>
      </c>
    </row>
    <row r="73" spans="2:2">
      <c r="B73" t="s">
        <v>333</v>
      </c>
    </row>
    <row r="74" spans="2:2">
      <c r="B74" t="s">
        <v>334</v>
      </c>
    </row>
    <row r="75" spans="2:2">
      <c r="B75" t="s">
        <v>335</v>
      </c>
    </row>
    <row r="76" spans="2:2">
      <c r="B76" t="s">
        <v>336</v>
      </c>
    </row>
    <row r="77" spans="2:2">
      <c r="B77" t="s">
        <v>337</v>
      </c>
    </row>
    <row r="78" spans="2:2">
      <c r="B78" t="s">
        <v>338</v>
      </c>
    </row>
    <row r="79" spans="2:2">
      <c r="B79" t="s">
        <v>339</v>
      </c>
    </row>
    <row r="80" spans="2:2">
      <c r="B80" t="s">
        <v>340</v>
      </c>
    </row>
    <row r="81" spans="2:2">
      <c r="B81" t="s">
        <v>341</v>
      </c>
    </row>
    <row r="82" spans="2:2">
      <c r="B82" t="s">
        <v>342</v>
      </c>
    </row>
    <row r="83" spans="2:2">
      <c r="B83" t="s">
        <v>343</v>
      </c>
    </row>
    <row r="84" spans="2:2">
      <c r="B84" t="s">
        <v>344</v>
      </c>
    </row>
    <row r="86" spans="2:2">
      <c r="B86" t="s">
        <v>290</v>
      </c>
    </row>
    <row r="87" spans="2:2">
      <c r="B87" t="e" cm="1">
        <f t="array" ref="B87">-- FUNCIÓN updated_at</f>
        <v>#NAME?</v>
      </c>
    </row>
    <row r="88" spans="2:2">
      <c r="B88" t="s">
        <v>290</v>
      </c>
    </row>
    <row r="90" spans="2:2">
      <c r="B90" t="s">
        <v>345</v>
      </c>
    </row>
    <row r="91" spans="2:2">
      <c r="B91" t="s">
        <v>346</v>
      </c>
    </row>
    <row r="92" spans="2:2">
      <c r="B92" t="s">
        <v>347</v>
      </c>
    </row>
    <row r="93" spans="2:2">
      <c r="B93" t="s">
        <v>348</v>
      </c>
    </row>
    <row r="94" spans="2:2">
      <c r="B94" t="s">
        <v>332</v>
      </c>
    </row>
    <row r="95" spans="2:2">
      <c r="B95" t="s">
        <v>349</v>
      </c>
    </row>
    <row r="96" spans="2:2">
      <c r="B96" t="s">
        <v>350</v>
      </c>
    </row>
    <row r="97" spans="2:2">
      <c r="B97" t="s">
        <v>351</v>
      </c>
    </row>
    <row r="98" spans="2:2">
      <c r="B98" t="s">
        <v>352</v>
      </c>
    </row>
    <row r="100" spans="2:2">
      <c r="B100" t="s">
        <v>353</v>
      </c>
    </row>
    <row r="102" spans="2:2">
      <c r="B102" t="s">
        <v>354</v>
      </c>
    </row>
    <row r="103" spans="2:2">
      <c r="B103" t="s">
        <v>355</v>
      </c>
    </row>
    <row r="104" spans="2:2">
      <c r="B104" t="s">
        <v>356</v>
      </c>
    </row>
    <row r="105" spans="2:2">
      <c r="B105" t="s">
        <v>357</v>
      </c>
    </row>
    <row r="107" spans="2:2">
      <c r="B107" t="s">
        <v>290</v>
      </c>
    </row>
    <row r="108" spans="2:2">
      <c r="B108" t="e" cm="1">
        <f t="array" ref="B108">-- ACTIVAR ROW LEVEL SECURITY</f>
        <v>#NAME?</v>
      </c>
    </row>
    <row r="109" spans="2:2">
      <c r="B109" t="s">
        <v>290</v>
      </c>
    </row>
    <row r="111" spans="2:2">
      <c r="B111" t="s">
        <v>358</v>
      </c>
    </row>
    <row r="113" spans="2:2">
      <c r="B113" t="s">
        <v>290</v>
      </c>
    </row>
    <row r="114" spans="2:2">
      <c r="B114" t="e" cm="1">
        <f t="array" ref="B114">-- POLÍTICAS RLS</f>
        <v>#NAME?</v>
      </c>
    </row>
    <row r="115" spans="2:2">
      <c r="B115" t="s">
        <v>359</v>
      </c>
    </row>
    <row r="116" spans="2:2">
      <c r="B116" t="e" cm="1">
        <f t="array" ref="B116">-- El profesional autenticado solo puede operar registros propios.</f>
        <v>#NAME?</v>
      </c>
    </row>
    <row r="117" spans="2:2">
      <c r="B117" t="s">
        <v>290</v>
      </c>
    </row>
    <row r="119" spans="2:2">
      <c r="B119" t="s">
        <v>360</v>
      </c>
    </row>
    <row r="120" spans="2:2">
      <c r="B120" t="s">
        <v>361</v>
      </c>
    </row>
    <row r="121" spans="2:2">
      <c r="B121" t="s">
        <v>362</v>
      </c>
    </row>
    <row r="122" spans="2:2">
      <c r="B122" t="s">
        <v>363</v>
      </c>
    </row>
    <row r="124" spans="2:2">
      <c r="B124" t="s">
        <v>364</v>
      </c>
    </row>
    <row r="125" spans="2:2">
      <c r="B125" t="s">
        <v>365</v>
      </c>
    </row>
    <row r="126" spans="2:2">
      <c r="B126" t="s">
        <v>255</v>
      </c>
    </row>
    <row r="127" spans="2:2">
      <c r="B127" t="s">
        <v>366</v>
      </c>
    </row>
    <row r="128" spans="2:2">
      <c r="B128" t="s">
        <v>367</v>
      </c>
    </row>
    <row r="129" spans="2:2">
      <c r="B129" t="s">
        <v>368</v>
      </c>
    </row>
    <row r="130" spans="2:2">
      <c r="B130" t="s">
        <v>40</v>
      </c>
    </row>
    <row r="132" spans="2:2">
      <c r="B132" t="s">
        <v>369</v>
      </c>
    </row>
    <row r="133" spans="2:2">
      <c r="B133" t="s">
        <v>365</v>
      </c>
    </row>
    <row r="134" spans="2:2">
      <c r="B134" t="s">
        <v>258</v>
      </c>
    </row>
    <row r="135" spans="2:2">
      <c r="B135" t="s">
        <v>366</v>
      </c>
    </row>
    <row r="136" spans="2:2">
      <c r="B136" t="s">
        <v>370</v>
      </c>
    </row>
    <row r="137" spans="2:2">
      <c r="B137" t="s">
        <v>368</v>
      </c>
    </row>
    <row r="138" spans="2:2">
      <c r="B138" t="s">
        <v>40</v>
      </c>
    </row>
    <row r="140" spans="2:2">
      <c r="B140" t="s">
        <v>371</v>
      </c>
    </row>
    <row r="141" spans="2:2">
      <c r="B141" t="s">
        <v>365</v>
      </c>
    </row>
    <row r="142" spans="2:2">
      <c r="B142" t="s">
        <v>261</v>
      </c>
    </row>
    <row r="143" spans="2:2">
      <c r="B143" t="s">
        <v>366</v>
      </c>
    </row>
    <row r="144" spans="2:2">
      <c r="B144" t="s">
        <v>367</v>
      </c>
    </row>
    <row r="145" spans="2:2">
      <c r="B145" t="s">
        <v>368</v>
      </c>
    </row>
    <row r="146" spans="2:2">
      <c r="B146" t="s">
        <v>372</v>
      </c>
    </row>
    <row r="147" spans="2:2">
      <c r="B147" t="s">
        <v>370</v>
      </c>
    </row>
    <row r="148" spans="2:2">
      <c r="B148" t="s">
        <v>368</v>
      </c>
    </row>
    <row r="149" spans="2:2">
      <c r="B149" t="s">
        <v>40</v>
      </c>
    </row>
    <row r="151" spans="2:2">
      <c r="B151" t="s">
        <v>373</v>
      </c>
    </row>
    <row r="152" spans="2:2">
      <c r="B152" t="s">
        <v>365</v>
      </c>
    </row>
    <row r="153" spans="2:2">
      <c r="B153" t="s">
        <v>264</v>
      </c>
    </row>
    <row r="154" spans="2:2">
      <c r="B154" t="s">
        <v>366</v>
      </c>
    </row>
    <row r="155" spans="2:2">
      <c r="B155" t="s">
        <v>367</v>
      </c>
    </row>
    <row r="156" spans="2:2">
      <c r="B156" t="s">
        <v>368</v>
      </c>
    </row>
    <row r="157" spans="2:2">
      <c r="B157" t="s">
        <v>40</v>
      </c>
    </row>
    <row r="159" spans="2:2">
      <c r="B159" t="s">
        <v>290</v>
      </c>
    </row>
    <row r="160" spans="2:2">
      <c r="B160" t="e" cm="1">
        <f t="array" ref="B160">-- COMENTARIOS DOCUMENTALES</f>
        <v>#NAME?</v>
      </c>
    </row>
    <row r="161" spans="2:2">
      <c r="B161" t="s">
        <v>290</v>
      </c>
    </row>
    <row r="163" spans="2:2">
      <c r="B163" t="s">
        <v>374</v>
      </c>
    </row>
    <row r="164" spans="2:2">
      <c r="B164" t="s">
        <v>375</v>
      </c>
    </row>
    <row r="166" spans="2:2">
      <c r="B166" t="s">
        <v>376</v>
      </c>
    </row>
    <row r="167" spans="2:2">
      <c r="B167" t="s">
        <v>377</v>
      </c>
    </row>
    <row r="169" spans="2:2">
      <c r="B169" t="s">
        <v>378</v>
      </c>
    </row>
    <row r="170" spans="2:2">
      <c r="B170" t="s">
        <v>379</v>
      </c>
    </row>
    <row r="172" spans="2:2">
      <c r="B172" t="s">
        <v>380</v>
      </c>
    </row>
    <row r="173" spans="2:2">
      <c r="B173" t="s">
        <v>381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41FA-3593-45A3-8FCB-761EE5D52BD1}">
  <dimension ref="B3:C5"/>
  <sheetViews>
    <sheetView workbookViewId="0">
      <selection activeCell="C3" sqref="C3:C5"/>
    </sheetView>
  </sheetViews>
  <sheetFormatPr baseColWidth="10" defaultRowHeight="15"/>
  <cols>
    <col min="3" max="3" width="73.42578125" customWidth="1"/>
  </cols>
  <sheetData>
    <row r="3" spans="2:3" ht="45">
      <c r="B3" t="s">
        <v>383</v>
      </c>
      <c r="C3" s="25" t="s">
        <v>387</v>
      </c>
    </row>
    <row r="4" spans="2:3" ht="60">
      <c r="B4" t="s">
        <v>384</v>
      </c>
      <c r="C4" s="25" t="s">
        <v>382</v>
      </c>
    </row>
    <row r="5" spans="2:3" ht="30">
      <c r="B5" t="s">
        <v>385</v>
      </c>
      <c r="C5" s="25" t="s">
        <v>386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2BC5B-A36D-45C7-B7FF-EF930D89C3F1}">
  <dimension ref="B3:D350"/>
  <sheetViews>
    <sheetView workbookViewId="0">
      <selection activeCell="B48" sqref="B48"/>
    </sheetView>
  </sheetViews>
  <sheetFormatPr baseColWidth="10" defaultColWidth="16.42578125" defaultRowHeight="15"/>
  <cols>
    <col min="2" max="2" width="34.28515625" customWidth="1"/>
    <col min="3" max="3" width="37.5703125" customWidth="1"/>
  </cols>
  <sheetData>
    <row r="3" spans="2:3" ht="23.25">
      <c r="B3" s="27" t="s">
        <v>388</v>
      </c>
    </row>
    <row r="5" spans="2:3">
      <c r="B5" s="28" t="s">
        <v>389</v>
      </c>
      <c r="C5" s="28" t="s">
        <v>390</v>
      </c>
    </row>
    <row r="6" spans="2:3">
      <c r="B6" s="29" t="s">
        <v>391</v>
      </c>
      <c r="C6" s="26" t="s">
        <v>392</v>
      </c>
    </row>
    <row r="7" spans="2:3">
      <c r="B7" s="29" t="s">
        <v>393</v>
      </c>
      <c r="C7" s="26" t="s">
        <v>394</v>
      </c>
    </row>
    <row r="8" spans="2:3">
      <c r="B8" s="29" t="s">
        <v>395</v>
      </c>
      <c r="C8" s="26" t="s">
        <v>396</v>
      </c>
    </row>
    <row r="9" spans="2:3">
      <c r="B9" s="29" t="s">
        <v>397</v>
      </c>
      <c r="C9" s="26" t="s">
        <v>398</v>
      </c>
    </row>
    <row r="10" spans="2:3">
      <c r="B10" s="29" t="s">
        <v>399</v>
      </c>
      <c r="C10" s="26" t="s">
        <v>400</v>
      </c>
    </row>
    <row r="13" spans="2:3" ht="31.5">
      <c r="B13" s="30" t="s">
        <v>401</v>
      </c>
    </row>
    <row r="15" spans="2:3" ht="23.25">
      <c r="B15" s="27" t="s">
        <v>402</v>
      </c>
    </row>
    <row r="17" spans="2:2">
      <c r="B17" t="s">
        <v>403</v>
      </c>
    </row>
    <row r="19" spans="2:2">
      <c r="B19" t="s">
        <v>404</v>
      </c>
    </row>
    <row r="20" spans="2:2">
      <c r="B20" s="26"/>
    </row>
    <row r="21" spans="2:2">
      <c r="B21" s="31" t="s">
        <v>405</v>
      </c>
    </row>
    <row r="22" spans="2:2">
      <c r="B22" s="31" t="s">
        <v>406</v>
      </c>
    </row>
    <row r="23" spans="2:2">
      <c r="B23" s="31" t="s">
        <v>407</v>
      </c>
    </row>
    <row r="24" spans="2:2">
      <c r="B24" s="31" t="s">
        <v>408</v>
      </c>
    </row>
    <row r="26" spans="2:2">
      <c r="B26" t="s">
        <v>409</v>
      </c>
    </row>
    <row r="28" spans="2:2">
      <c r="B28" s="32" t="s">
        <v>410</v>
      </c>
    </row>
    <row r="30" spans="2:2">
      <c r="B30" t="s">
        <v>411</v>
      </c>
    </row>
    <row r="31" spans="2:2">
      <c r="B31" s="26"/>
    </row>
    <row r="32" spans="2:2">
      <c r="B32" s="31" t="s">
        <v>412</v>
      </c>
    </row>
    <row r="36" spans="2:2" ht="23.25">
      <c r="B36" s="27" t="s">
        <v>413</v>
      </c>
    </row>
    <row r="38" spans="2:2">
      <c r="B38" t="s">
        <v>414</v>
      </c>
    </row>
    <row r="40" spans="2:2">
      <c r="B40" t="s">
        <v>404</v>
      </c>
    </row>
    <row r="41" spans="2:2">
      <c r="B41" s="26"/>
    </row>
    <row r="42" spans="2:2">
      <c r="B42" s="31" t="s">
        <v>415</v>
      </c>
    </row>
    <row r="44" spans="2:2">
      <c r="B44" t="s">
        <v>416</v>
      </c>
    </row>
    <row r="46" spans="2:2">
      <c r="B46" t="s">
        <v>417</v>
      </c>
    </row>
    <row r="47" spans="2:2">
      <c r="B47" s="26"/>
    </row>
    <row r="48" spans="2:2">
      <c r="B48" s="31" t="s">
        <v>418</v>
      </c>
    </row>
    <row r="49" spans="2:2">
      <c r="B49" s="31" t="s">
        <v>419</v>
      </c>
    </row>
    <row r="50" spans="2:2">
      <c r="B50" s="31" t="s">
        <v>420</v>
      </c>
    </row>
    <row r="51" spans="2:2">
      <c r="B51" s="31" t="s">
        <v>421</v>
      </c>
    </row>
    <row r="52" spans="2:2">
      <c r="B52" s="31" t="s">
        <v>422</v>
      </c>
    </row>
    <row r="54" spans="2:2">
      <c r="B54" t="s">
        <v>423</v>
      </c>
    </row>
    <row r="58" spans="2:2" ht="23.25">
      <c r="B58" s="27" t="s">
        <v>424</v>
      </c>
    </row>
    <row r="60" spans="2:2">
      <c r="B60" t="s">
        <v>425</v>
      </c>
    </row>
    <row r="61" spans="2:2">
      <c r="B61" s="26"/>
    </row>
    <row r="62" spans="2:2">
      <c r="B62" s="31" t="s">
        <v>426</v>
      </c>
    </row>
    <row r="63" spans="2:2">
      <c r="B63" s="31" t="s">
        <v>427</v>
      </c>
    </row>
    <row r="64" spans="2:2">
      <c r="B64" s="31" t="s">
        <v>428</v>
      </c>
    </row>
    <row r="66" spans="2:2">
      <c r="B66" t="s">
        <v>429</v>
      </c>
    </row>
    <row r="68" spans="2:2">
      <c r="B68" t="s">
        <v>430</v>
      </c>
    </row>
    <row r="69" spans="2:2">
      <c r="B69" s="26"/>
    </row>
    <row r="70" spans="2:2">
      <c r="B70" s="31" t="s">
        <v>431</v>
      </c>
    </row>
    <row r="72" spans="2:2">
      <c r="B72" s="32" t="s">
        <v>432</v>
      </c>
    </row>
    <row r="74" spans="2:2">
      <c r="B74" t="s">
        <v>433</v>
      </c>
    </row>
    <row r="75" spans="2:2">
      <c r="B75" s="26"/>
    </row>
    <row r="76" spans="2:2">
      <c r="B76" s="31" t="s">
        <v>434</v>
      </c>
    </row>
    <row r="78" spans="2:2">
      <c r="B78" t="s">
        <v>435</v>
      </c>
    </row>
    <row r="82" spans="2:2" ht="23.25">
      <c r="B82" s="27" t="s">
        <v>436</v>
      </c>
    </row>
    <row r="84" spans="2:2">
      <c r="B84" t="s">
        <v>437</v>
      </c>
    </row>
    <row r="85" spans="2:2">
      <c r="B85" s="26"/>
    </row>
    <row r="86" spans="2:2">
      <c r="B86" s="31" t="s">
        <v>438</v>
      </c>
    </row>
    <row r="87" spans="2:2">
      <c r="B87" s="31" t="s">
        <v>439</v>
      </c>
    </row>
    <row r="88" spans="2:2">
      <c r="B88" s="31" t="s">
        <v>440</v>
      </c>
    </row>
    <row r="89" spans="2:2">
      <c r="B89" s="31" t="s">
        <v>441</v>
      </c>
    </row>
    <row r="90" spans="2:2">
      <c r="B90" s="31" t="s">
        <v>442</v>
      </c>
    </row>
    <row r="91" spans="2:2">
      <c r="B91" s="31" t="s">
        <v>443</v>
      </c>
    </row>
    <row r="93" spans="2:2">
      <c r="B93" t="s">
        <v>444</v>
      </c>
    </row>
    <row r="94" spans="2:2">
      <c r="B94" s="26"/>
    </row>
    <row r="95" spans="2:2">
      <c r="B95" s="31" t="s">
        <v>445</v>
      </c>
    </row>
    <row r="96" spans="2:2">
      <c r="B96" s="31" t="s">
        <v>446</v>
      </c>
    </row>
    <row r="98" spans="2:2">
      <c r="B98" t="s">
        <v>447</v>
      </c>
    </row>
    <row r="99" spans="2:2">
      <c r="B99" s="26"/>
    </row>
    <row r="100" spans="2:2">
      <c r="B100" s="31" t="s">
        <v>448</v>
      </c>
    </row>
    <row r="101" spans="2:2">
      <c r="B101" s="31" t="s">
        <v>449</v>
      </c>
    </row>
    <row r="102" spans="2:2">
      <c r="B102" s="31" t="s">
        <v>450</v>
      </c>
    </row>
    <row r="103" spans="2:2">
      <c r="B103" s="31" t="s">
        <v>451</v>
      </c>
    </row>
    <row r="105" spans="2:2">
      <c r="B105" t="s">
        <v>452</v>
      </c>
    </row>
    <row r="109" spans="2:2" ht="23.25">
      <c r="B109" s="27" t="s">
        <v>453</v>
      </c>
    </row>
    <row r="111" spans="2:2">
      <c r="B111" t="s">
        <v>454</v>
      </c>
    </row>
    <row r="113" spans="2:2">
      <c r="B113" t="s">
        <v>455</v>
      </c>
    </row>
    <row r="114" spans="2:2">
      <c r="B114" s="26"/>
    </row>
    <row r="115" spans="2:2">
      <c r="B115" s="31" t="s">
        <v>456</v>
      </c>
    </row>
    <row r="116" spans="2:2">
      <c r="B116" s="31" t="s">
        <v>457</v>
      </c>
    </row>
    <row r="117" spans="2:2">
      <c r="B117" s="31" t="s">
        <v>458</v>
      </c>
    </row>
    <row r="118" spans="2:2">
      <c r="B118" s="31" t="s">
        <v>459</v>
      </c>
    </row>
    <row r="119" spans="2:2">
      <c r="B119" s="31" t="s">
        <v>460</v>
      </c>
    </row>
    <row r="120" spans="2:2">
      <c r="B120" s="31" t="s">
        <v>461</v>
      </c>
    </row>
    <row r="122" spans="2:2">
      <c r="B122" t="s">
        <v>462</v>
      </c>
    </row>
    <row r="123" spans="2:2">
      <c r="B123" s="26"/>
    </row>
    <row r="124" spans="2:2">
      <c r="B124" s="31" t="s">
        <v>463</v>
      </c>
    </row>
    <row r="126" spans="2:2">
      <c r="B126" t="s">
        <v>464</v>
      </c>
    </row>
    <row r="127" spans="2:2">
      <c r="B127" s="26"/>
    </row>
    <row r="128" spans="2:2">
      <c r="B128" s="31" t="s">
        <v>465</v>
      </c>
    </row>
    <row r="130" spans="2:2">
      <c r="B130" t="s">
        <v>466</v>
      </c>
    </row>
    <row r="132" spans="2:2">
      <c r="B132" s="32" t="s">
        <v>467</v>
      </c>
    </row>
    <row r="134" spans="2:2">
      <c r="B134" t="s">
        <v>468</v>
      </c>
    </row>
    <row r="135" spans="2:2">
      <c r="B135" s="26"/>
    </row>
    <row r="136" spans="2:2">
      <c r="B136" s="31" t="s">
        <v>469</v>
      </c>
    </row>
    <row r="138" spans="2:2">
      <c r="B138" t="s">
        <v>470</v>
      </c>
    </row>
    <row r="139" spans="2:2">
      <c r="B139" s="26"/>
    </row>
    <row r="140" spans="2:2">
      <c r="B140" s="31" t="s">
        <v>471</v>
      </c>
    </row>
    <row r="142" spans="2:2">
      <c r="B142" t="s">
        <v>472</v>
      </c>
    </row>
    <row r="146" spans="2:4" ht="31.5">
      <c r="B146" s="30" t="s">
        <v>473</v>
      </c>
    </row>
    <row r="148" spans="2:4">
      <c r="B148" t="s">
        <v>474</v>
      </c>
    </row>
    <row r="150" spans="2:4" ht="23.25">
      <c r="B150" s="27" t="s">
        <v>475</v>
      </c>
    </row>
    <row r="152" spans="2:4">
      <c r="B152" s="28" t="s">
        <v>476</v>
      </c>
      <c r="C152" s="28" t="s">
        <v>477</v>
      </c>
      <c r="D152" s="28" t="s">
        <v>478</v>
      </c>
    </row>
    <row r="153" spans="2:4" ht="30">
      <c r="B153" s="29" t="s">
        <v>412</v>
      </c>
      <c r="C153" s="29" t="s">
        <v>479</v>
      </c>
      <c r="D153" s="29" t="s">
        <v>480</v>
      </c>
    </row>
    <row r="154" spans="2:4" ht="30">
      <c r="B154" s="29" t="s">
        <v>434</v>
      </c>
      <c r="C154" s="29" t="s">
        <v>481</v>
      </c>
      <c r="D154" s="29" t="s">
        <v>391</v>
      </c>
    </row>
    <row r="155" spans="2:4" ht="45">
      <c r="B155" s="29" t="s">
        <v>471</v>
      </c>
      <c r="C155" s="29" t="s">
        <v>482</v>
      </c>
      <c r="D155" s="29" t="s">
        <v>483</v>
      </c>
    </row>
    <row r="156" spans="2:4" ht="30">
      <c r="B156" s="29" t="s">
        <v>469</v>
      </c>
      <c r="C156" s="29" t="s">
        <v>484</v>
      </c>
      <c r="D156" s="29" t="s">
        <v>485</v>
      </c>
    </row>
    <row r="157" spans="2:4" ht="30">
      <c r="B157" s="29" t="s">
        <v>486</v>
      </c>
      <c r="C157" s="29" t="s">
        <v>487</v>
      </c>
      <c r="D157" s="29" t="s">
        <v>488</v>
      </c>
    </row>
    <row r="158" spans="2:4" ht="30">
      <c r="B158" s="29" t="s">
        <v>489</v>
      </c>
      <c r="C158" s="29" t="s">
        <v>490</v>
      </c>
      <c r="D158" s="29" t="s">
        <v>491</v>
      </c>
    </row>
    <row r="159" spans="2:4">
      <c r="B159" s="29" t="s">
        <v>492</v>
      </c>
      <c r="C159" s="29" t="s">
        <v>493</v>
      </c>
      <c r="D159" s="29" t="s">
        <v>391</v>
      </c>
    </row>
    <row r="160" spans="2:4">
      <c r="B160" s="29" t="s">
        <v>494</v>
      </c>
      <c r="C160" s="29" t="s">
        <v>495</v>
      </c>
      <c r="D160" s="29" t="s">
        <v>496</v>
      </c>
    </row>
    <row r="161" spans="2:4" ht="30">
      <c r="B161" s="29" t="s">
        <v>497</v>
      </c>
      <c r="C161" s="29" t="s">
        <v>498</v>
      </c>
      <c r="D161" s="29" t="s">
        <v>488</v>
      </c>
    </row>
    <row r="162" spans="2:4" ht="30">
      <c r="B162" s="29" t="s">
        <v>499</v>
      </c>
      <c r="C162" s="29" t="s">
        <v>500</v>
      </c>
      <c r="D162" s="29" t="s">
        <v>496</v>
      </c>
    </row>
    <row r="163" spans="2:4" ht="30">
      <c r="B163" s="29" t="s">
        <v>501</v>
      </c>
      <c r="C163" s="29" t="s">
        <v>502</v>
      </c>
      <c r="D163" s="29" t="s">
        <v>483</v>
      </c>
    </row>
    <row r="166" spans="2:4" ht="31.5">
      <c r="B166" s="30" t="s">
        <v>503</v>
      </c>
    </row>
    <row r="168" spans="2:4">
      <c r="B168" t="s">
        <v>504</v>
      </c>
    </row>
    <row r="169" spans="2:4">
      <c r="B169" s="26"/>
    </row>
    <row r="170" spans="2:4">
      <c r="B170" s="31" t="s">
        <v>412</v>
      </c>
    </row>
    <row r="171" spans="2:4">
      <c r="B171" s="31" t="s">
        <v>505</v>
      </c>
    </row>
    <row r="172" spans="2:4">
      <c r="B172" s="31" t="s">
        <v>434</v>
      </c>
    </row>
    <row r="173" spans="2:4">
      <c r="B173" s="31" t="s">
        <v>505</v>
      </c>
    </row>
    <row r="174" spans="2:4">
      <c r="B174" s="31" t="s">
        <v>506</v>
      </c>
    </row>
    <row r="175" spans="2:4">
      <c r="B175" s="31" t="s">
        <v>505</v>
      </c>
    </row>
    <row r="176" spans="2:4">
      <c r="B176" s="31" t="s">
        <v>486</v>
      </c>
    </row>
    <row r="177" spans="2:2">
      <c r="B177" s="31" t="s">
        <v>505</v>
      </c>
    </row>
    <row r="178" spans="2:2">
      <c r="B178" s="31" t="s">
        <v>499</v>
      </c>
    </row>
    <row r="179" spans="2:2">
      <c r="B179" s="31" t="s">
        <v>505</v>
      </c>
    </row>
    <row r="180" spans="2:2">
      <c r="B180" s="31" t="s">
        <v>501</v>
      </c>
    </row>
    <row r="182" spans="2:2">
      <c r="B182" t="s">
        <v>507</v>
      </c>
    </row>
    <row r="183" spans="2:2">
      <c r="B183" s="26"/>
    </row>
    <row r="184" spans="2:2">
      <c r="B184" s="31" t="s">
        <v>486</v>
      </c>
    </row>
    <row r="185" spans="2:2">
      <c r="B185" s="31" t="s">
        <v>505</v>
      </c>
    </row>
    <row r="186" spans="2:2">
      <c r="B186" s="31" t="s">
        <v>489</v>
      </c>
    </row>
    <row r="187" spans="2:2">
      <c r="B187" s="31" t="s">
        <v>505</v>
      </c>
    </row>
    <row r="188" spans="2:2">
      <c r="B188" s="31" t="s">
        <v>486</v>
      </c>
    </row>
    <row r="189" spans="2:2">
      <c r="B189" s="26"/>
    </row>
    <row r="190" spans="2:2">
      <c r="B190" s="31" t="s">
        <v>486</v>
      </c>
    </row>
    <row r="191" spans="2:2">
      <c r="B191" s="31" t="s">
        <v>505</v>
      </c>
    </row>
    <row r="192" spans="2:2">
      <c r="B192" s="31" t="s">
        <v>492</v>
      </c>
    </row>
    <row r="193" spans="2:2">
      <c r="B193" s="31" t="s">
        <v>505</v>
      </c>
    </row>
    <row r="194" spans="2:2">
      <c r="B194" s="31" t="s">
        <v>501</v>
      </c>
    </row>
    <row r="195" spans="2:2">
      <c r="B195" s="26"/>
    </row>
    <row r="196" spans="2:2">
      <c r="B196" s="31" t="s">
        <v>486</v>
      </c>
    </row>
    <row r="197" spans="2:2">
      <c r="B197" s="31" t="s">
        <v>505</v>
      </c>
    </row>
    <row r="198" spans="2:2">
      <c r="B198" s="31" t="s">
        <v>494</v>
      </c>
    </row>
    <row r="199" spans="2:2">
      <c r="B199" s="31" t="s">
        <v>505</v>
      </c>
    </row>
    <row r="200" spans="2:2">
      <c r="B200" s="31" t="s">
        <v>501</v>
      </c>
    </row>
    <row r="201" spans="2:2">
      <c r="B201" s="26"/>
    </row>
    <row r="202" spans="2:2">
      <c r="B202" s="31" t="s">
        <v>486</v>
      </c>
    </row>
    <row r="203" spans="2:2">
      <c r="B203" s="31" t="s">
        <v>505</v>
      </c>
    </row>
    <row r="204" spans="2:2">
      <c r="B204" s="31" t="s">
        <v>497</v>
      </c>
    </row>
    <row r="205" spans="2:2">
      <c r="B205" s="31" t="s">
        <v>505</v>
      </c>
    </row>
    <row r="206" spans="2:2">
      <c r="B206" s="31" t="s">
        <v>501</v>
      </c>
    </row>
    <row r="210" spans="2:2" ht="31.5">
      <c r="B210" s="30" t="s">
        <v>508</v>
      </c>
    </row>
    <row r="212" spans="2:2">
      <c r="B212" t="s">
        <v>509</v>
      </c>
    </row>
    <row r="213" spans="2:2">
      <c r="B213" s="26"/>
    </row>
    <row r="214" spans="2:2">
      <c r="B214" s="31" t="s">
        <v>510</v>
      </c>
    </row>
    <row r="215" spans="2:2">
      <c r="B215" s="31" t="s">
        <v>511</v>
      </c>
    </row>
    <row r="216" spans="2:2">
      <c r="B216" s="31" t="s">
        <v>512</v>
      </c>
    </row>
    <row r="217" spans="2:2">
      <c r="B217" s="31" t="s">
        <v>513</v>
      </c>
    </row>
    <row r="218" spans="2:2">
      <c r="B218" s="31" t="s">
        <v>514</v>
      </c>
    </row>
    <row r="219" spans="2:2">
      <c r="B219" s="31" t="s">
        <v>515</v>
      </c>
    </row>
    <row r="220" spans="2:2">
      <c r="B220" s="31" t="s">
        <v>516</v>
      </c>
    </row>
    <row r="222" spans="2:2">
      <c r="B222" t="s">
        <v>517</v>
      </c>
    </row>
    <row r="223" spans="2:2">
      <c r="B223" s="26"/>
    </row>
    <row r="224" spans="2:2">
      <c r="B224" s="31" t="s">
        <v>518</v>
      </c>
    </row>
    <row r="225" spans="2:3">
      <c r="B225" s="31" t="s">
        <v>519</v>
      </c>
    </row>
    <row r="226" spans="2:3">
      <c r="B226" s="31" t="s">
        <v>520</v>
      </c>
    </row>
    <row r="227" spans="2:3">
      <c r="B227" s="31" t="s">
        <v>521</v>
      </c>
    </row>
    <row r="229" spans="2:3">
      <c r="B229" t="s">
        <v>522</v>
      </c>
    </row>
    <row r="231" spans="2:3">
      <c r="B231" s="28" t="s">
        <v>523</v>
      </c>
      <c r="C231" s="28" t="s">
        <v>524</v>
      </c>
    </row>
    <row r="232" spans="2:3" ht="30">
      <c r="B232" s="29" t="s">
        <v>510</v>
      </c>
      <c r="C232" s="29" t="s">
        <v>525</v>
      </c>
    </row>
    <row r="233" spans="2:3">
      <c r="B233" s="29" t="s">
        <v>511</v>
      </c>
      <c r="C233" s="29" t="s">
        <v>526</v>
      </c>
    </row>
    <row r="234" spans="2:3" ht="30">
      <c r="B234" s="29" t="s">
        <v>512</v>
      </c>
      <c r="C234" s="29" t="s">
        <v>527</v>
      </c>
    </row>
    <row r="235" spans="2:3">
      <c r="B235" s="29" t="s">
        <v>513</v>
      </c>
      <c r="C235" s="29" t="s">
        <v>528</v>
      </c>
    </row>
    <row r="236" spans="2:3">
      <c r="B236" s="29" t="s">
        <v>514</v>
      </c>
      <c r="C236" s="29" t="s">
        <v>529</v>
      </c>
    </row>
    <row r="237" spans="2:3">
      <c r="B237" s="29" t="s">
        <v>515</v>
      </c>
      <c r="C237" s="29" t="s">
        <v>530</v>
      </c>
    </row>
    <row r="238" spans="2:3">
      <c r="B238" s="29" t="s">
        <v>516</v>
      </c>
      <c r="C238" s="29" t="s">
        <v>531</v>
      </c>
    </row>
    <row r="241" spans="2:2" ht="31.5">
      <c r="B241" s="30" t="s">
        <v>532</v>
      </c>
    </row>
    <row r="243" spans="2:2" ht="23.25">
      <c r="B243" s="27" t="s">
        <v>533</v>
      </c>
    </row>
    <row r="245" spans="2:2">
      <c r="B245" t="s">
        <v>534</v>
      </c>
    </row>
    <row r="246" spans="2:2">
      <c r="B246" s="26"/>
    </row>
    <row r="247" spans="2:2">
      <c r="B247" s="31" t="s">
        <v>535</v>
      </c>
    </row>
    <row r="248" spans="2:2">
      <c r="B248" s="31" t="s">
        <v>536</v>
      </c>
    </row>
    <row r="250" spans="2:2" ht="23.25">
      <c r="B250" s="27" t="s">
        <v>537</v>
      </c>
    </row>
    <row r="252" spans="2:2">
      <c r="B252" t="s">
        <v>538</v>
      </c>
    </row>
    <row r="253" spans="2:2">
      <c r="B253" s="26"/>
    </row>
    <row r="254" spans="2:2">
      <c r="B254" s="31" t="s">
        <v>539</v>
      </c>
    </row>
    <row r="255" spans="2:2">
      <c r="B255" s="31" t="s">
        <v>540</v>
      </c>
    </row>
    <row r="256" spans="2:2">
      <c r="B256" s="31" t="s">
        <v>541</v>
      </c>
    </row>
    <row r="257" spans="2:2">
      <c r="B257" s="31" t="s">
        <v>542</v>
      </c>
    </row>
    <row r="258" spans="2:2">
      <c r="B258" s="31" t="s">
        <v>543</v>
      </c>
    </row>
    <row r="260" spans="2:2" ht="23.25">
      <c r="B260" s="27" t="s">
        <v>544</v>
      </c>
    </row>
    <row r="262" spans="2:2">
      <c r="B262" t="s">
        <v>545</v>
      </c>
    </row>
    <row r="264" spans="2:2">
      <c r="B264" t="s">
        <v>546</v>
      </c>
    </row>
    <row r="265" spans="2:2">
      <c r="B265" s="26"/>
    </row>
    <row r="266" spans="2:2">
      <c r="B266" s="31" t="s">
        <v>547</v>
      </c>
    </row>
    <row r="268" spans="2:2">
      <c r="B268" t="s">
        <v>548</v>
      </c>
    </row>
    <row r="269" spans="2:2">
      <c r="B269" s="26"/>
    </row>
    <row r="270" spans="2:2">
      <c r="B270" s="31" t="s">
        <v>549</v>
      </c>
    </row>
    <row r="272" spans="2:2" ht="23.25">
      <c r="B272" s="27" t="s">
        <v>550</v>
      </c>
    </row>
    <row r="274" spans="2:2">
      <c r="B274" t="s">
        <v>551</v>
      </c>
    </row>
    <row r="276" spans="2:2">
      <c r="B276" t="s">
        <v>552</v>
      </c>
    </row>
    <row r="277" spans="2:2">
      <c r="B277" s="26"/>
    </row>
    <row r="278" spans="2:2">
      <c r="B278" s="31" t="s">
        <v>553</v>
      </c>
    </row>
    <row r="280" spans="2:2">
      <c r="B280" t="s">
        <v>554</v>
      </c>
    </row>
    <row r="284" spans="2:2" ht="31.5">
      <c r="B284" s="30" t="s">
        <v>555</v>
      </c>
    </row>
    <row r="286" spans="2:2">
      <c r="B286" t="s">
        <v>556</v>
      </c>
    </row>
    <row r="287" spans="2:2">
      <c r="B287" s="26"/>
    </row>
    <row r="288" spans="2:2">
      <c r="B288" s="31" t="s">
        <v>1</v>
      </c>
    </row>
    <row r="289" spans="2:2">
      <c r="B289" s="31" t="s">
        <v>136</v>
      </c>
    </row>
    <row r="290" spans="2:2">
      <c r="B290" s="31" t="s">
        <v>557</v>
      </c>
    </row>
    <row r="291" spans="2:2">
      <c r="B291" s="31" t="s">
        <v>558</v>
      </c>
    </row>
    <row r="292" spans="2:2">
      <c r="B292" s="31" t="s">
        <v>559</v>
      </c>
    </row>
    <row r="293" spans="2:2">
      <c r="B293" s="31" t="s">
        <v>560</v>
      </c>
    </row>
    <row r="294" spans="2:2">
      <c r="B294" s="31" t="s">
        <v>561</v>
      </c>
    </row>
    <row r="295" spans="2:2">
      <c r="B295" s="31" t="s">
        <v>562</v>
      </c>
    </row>
    <row r="296" spans="2:2">
      <c r="B296" s="31" t="s">
        <v>563</v>
      </c>
    </row>
    <row r="297" spans="2:2">
      <c r="B297" s="31" t="s">
        <v>564</v>
      </c>
    </row>
    <row r="298" spans="2:2">
      <c r="B298" s="31" t="s">
        <v>565</v>
      </c>
    </row>
    <row r="299" spans="2:2">
      <c r="B299" s="31" t="s">
        <v>566</v>
      </c>
    </row>
    <row r="300" spans="2:2">
      <c r="B300" s="31" t="s">
        <v>567</v>
      </c>
    </row>
    <row r="301" spans="2:2">
      <c r="B301" s="31" t="s">
        <v>568</v>
      </c>
    </row>
    <row r="302" spans="2:2">
      <c r="B302" s="31" t="s">
        <v>569</v>
      </c>
    </row>
    <row r="303" spans="2:2">
      <c r="B303" s="31" t="s">
        <v>570</v>
      </c>
    </row>
    <row r="305" spans="2:2">
      <c r="B305" t="s">
        <v>571</v>
      </c>
    </row>
    <row r="306" spans="2:2">
      <c r="B306" s="26"/>
    </row>
    <row r="307" spans="2:2">
      <c r="B307" s="31" t="s">
        <v>572</v>
      </c>
    </row>
    <row r="308" spans="2:2">
      <c r="B308" s="31" t="s">
        <v>573</v>
      </c>
    </row>
    <row r="309" spans="2:2">
      <c r="B309" s="31" t="s">
        <v>574</v>
      </c>
    </row>
    <row r="310" spans="2:2">
      <c r="B310" s="31" t="s">
        <v>575</v>
      </c>
    </row>
    <row r="312" spans="2:2">
      <c r="B312" t="s">
        <v>576</v>
      </c>
    </row>
    <row r="313" spans="2:2">
      <c r="B313" s="26"/>
    </row>
    <row r="314" spans="2:2">
      <c r="B314" s="31" t="s">
        <v>577</v>
      </c>
    </row>
    <row r="315" spans="2:2">
      <c r="B315" s="31" t="s">
        <v>578</v>
      </c>
    </row>
    <row r="316" spans="2:2">
      <c r="B316" s="31" t="s">
        <v>6</v>
      </c>
    </row>
    <row r="317" spans="2:2">
      <c r="B317" s="31" t="s">
        <v>32</v>
      </c>
    </row>
    <row r="318" spans="2:2">
      <c r="B318" s="31" t="s">
        <v>579</v>
      </c>
    </row>
    <row r="322" spans="2:2" ht="31.5">
      <c r="B322" s="30" t="s">
        <v>580</v>
      </c>
    </row>
    <row r="323" spans="2:2">
      <c r="B323" s="26"/>
    </row>
    <row r="324" spans="2:2">
      <c r="B324" s="31" t="s">
        <v>581</v>
      </c>
    </row>
    <row r="325" spans="2:2">
      <c r="B325" s="31" t="s">
        <v>582</v>
      </c>
    </row>
    <row r="326" spans="2:2">
      <c r="B326" s="31" t="s">
        <v>583</v>
      </c>
    </row>
    <row r="327" spans="2:2">
      <c r="B327" s="31" t="s">
        <v>584</v>
      </c>
    </row>
    <row r="328" spans="2:2">
      <c r="B328" s="31" t="s">
        <v>585</v>
      </c>
    </row>
    <row r="329" spans="2:2">
      <c r="B329" s="31" t="s">
        <v>586</v>
      </c>
    </row>
    <row r="330" spans="2:2">
      <c r="B330" s="31" t="s">
        <v>587</v>
      </c>
    </row>
    <row r="331" spans="2:2">
      <c r="B331" s="31" t="s">
        <v>588</v>
      </c>
    </row>
    <row r="332" spans="2:2">
      <c r="B332" s="31" t="s">
        <v>589</v>
      </c>
    </row>
    <row r="333" spans="2:2">
      <c r="B333" s="31" t="s">
        <v>590</v>
      </c>
    </row>
    <row r="337" spans="2:2" ht="31.5">
      <c r="B337" s="30" t="s">
        <v>591</v>
      </c>
    </row>
    <row r="339" spans="2:2">
      <c r="B339" t="s">
        <v>592</v>
      </c>
    </row>
    <row r="340" spans="2:2">
      <c r="B340" s="26"/>
    </row>
    <row r="341" spans="2:2">
      <c r="B341" s="31" t="s">
        <v>593</v>
      </c>
    </row>
    <row r="342" spans="2:2">
      <c r="B342" s="31" t="s">
        <v>594</v>
      </c>
    </row>
    <row r="344" spans="2:2">
      <c r="B344" t="s">
        <v>595</v>
      </c>
    </row>
    <row r="345" spans="2:2">
      <c r="B345" s="26"/>
    </row>
    <row r="346" spans="2:2">
      <c r="B346" s="31" t="s">
        <v>596</v>
      </c>
    </row>
    <row r="348" spans="2:2">
      <c r="B348" t="s">
        <v>597</v>
      </c>
    </row>
    <row r="349" spans="2:2">
      <c r="B349" s="26"/>
    </row>
    <row r="350" spans="2:2">
      <c r="B350" s="31" t="s">
        <v>598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CEF9C-8ACB-4FAC-B3E0-6D307BE7EBAE}">
  <dimension ref="B4:B66"/>
  <sheetViews>
    <sheetView workbookViewId="0">
      <selection activeCell="B4" sqref="B4:B67"/>
    </sheetView>
  </sheetViews>
  <sheetFormatPr baseColWidth="10" defaultRowHeight="15"/>
  <sheetData>
    <row r="4" spans="2:2">
      <c r="B4" t="s">
        <v>290</v>
      </c>
    </row>
    <row r="5" spans="2:2">
      <c r="B5" t="s">
        <v>867</v>
      </c>
    </row>
    <row r="6" spans="2:2">
      <c r="B6" t="s">
        <v>291</v>
      </c>
    </row>
    <row r="7" spans="2:2">
      <c r="B7" t="e" cm="1">
        <f t="array" ref="B7">--   Permitir que la página pública de Reserva precargue datos</f>
        <v>#NAME?</v>
      </c>
    </row>
    <row r="8" spans="2:2">
      <c r="B8" t="s">
        <v>868</v>
      </c>
    </row>
    <row r="9" spans="2:2">
      <c r="B9" t="s">
        <v>869</v>
      </c>
    </row>
    <row r="10" spans="2:2">
      <c r="B10" t="s">
        <v>290</v>
      </c>
    </row>
    <row r="12" spans="2:2">
      <c r="B12" t="s">
        <v>870</v>
      </c>
    </row>
    <row r="13" spans="2:2">
      <c r="B13" t="s">
        <v>726</v>
      </c>
    </row>
    <row r="14" spans="2:2">
      <c r="B14" t="s">
        <v>871</v>
      </c>
    </row>
    <row r="15" spans="2:2">
      <c r="B15" t="s">
        <v>372</v>
      </c>
    </row>
    <row r="16" spans="2:2">
      <c r="B16" t="s">
        <v>737</v>
      </c>
    </row>
    <row r="17" spans="2:2">
      <c r="B17" t="s">
        <v>872</v>
      </c>
    </row>
    <row r="18" spans="2:2">
      <c r="B18" t="s">
        <v>873</v>
      </c>
    </row>
    <row r="19" spans="2:2">
      <c r="B19" t="s">
        <v>874</v>
      </c>
    </row>
    <row r="20" spans="2:2">
      <c r="B20" t="s">
        <v>875</v>
      </c>
    </row>
    <row r="21" spans="2:2">
      <c r="B21" t="s">
        <v>876</v>
      </c>
    </row>
    <row r="22" spans="2:2">
      <c r="B22" t="s">
        <v>372</v>
      </c>
    </row>
    <row r="23" spans="2:2">
      <c r="B23" t="s">
        <v>347</v>
      </c>
    </row>
    <row r="24" spans="2:2">
      <c r="B24" t="s">
        <v>742</v>
      </c>
    </row>
    <row r="25" spans="2:2">
      <c r="B25" t="s">
        <v>743</v>
      </c>
    </row>
    <row r="26" spans="2:2">
      <c r="B26" t="s">
        <v>348</v>
      </c>
    </row>
    <row r="27" spans="2:2">
      <c r="B27" t="s">
        <v>744</v>
      </c>
    </row>
    <row r="28" spans="2:2">
      <c r="B28" t="s">
        <v>745</v>
      </c>
    </row>
    <row r="29" spans="2:2">
      <c r="B29" t="s">
        <v>877</v>
      </c>
    </row>
    <row r="30" spans="2:2">
      <c r="B30" t="s">
        <v>332</v>
      </c>
    </row>
    <row r="31" spans="2:2">
      <c r="B31" t="s">
        <v>878</v>
      </c>
    </row>
    <row r="33" spans="2:2">
      <c r="B33" t="s">
        <v>755</v>
      </c>
    </row>
    <row r="34" spans="2:2">
      <c r="B34" t="s">
        <v>756</v>
      </c>
    </row>
    <row r="35" spans="2:2">
      <c r="B35" t="s">
        <v>343</v>
      </c>
    </row>
    <row r="37" spans="2:2">
      <c r="B37" t="s">
        <v>879</v>
      </c>
    </row>
    <row r="38" spans="2:2">
      <c r="B38" t="s">
        <v>880</v>
      </c>
    </row>
    <row r="39" spans="2:2">
      <c r="B39" t="s">
        <v>343</v>
      </c>
    </row>
    <row r="41" spans="2:2">
      <c r="B41" t="s">
        <v>769</v>
      </c>
    </row>
    <row r="42" spans="2:2">
      <c r="B42" t="s">
        <v>770</v>
      </c>
    </row>
    <row r="43" spans="2:2">
      <c r="B43" t="s">
        <v>771</v>
      </c>
    </row>
    <row r="44" spans="2:2">
      <c r="B44" t="s">
        <v>772</v>
      </c>
    </row>
    <row r="45" spans="2:2">
      <c r="B45" t="s">
        <v>773</v>
      </c>
    </row>
    <row r="46" spans="2:2">
      <c r="B46" t="s">
        <v>774</v>
      </c>
    </row>
    <row r="48" spans="2:2">
      <c r="B48" t="s">
        <v>775</v>
      </c>
    </row>
    <row r="49" spans="2:2">
      <c r="B49" t="s">
        <v>776</v>
      </c>
    </row>
    <row r="50" spans="2:2">
      <c r="B50" t="s">
        <v>343</v>
      </c>
    </row>
    <row r="52" spans="2:2">
      <c r="B52" t="s">
        <v>856</v>
      </c>
    </row>
    <row r="53" spans="2:2">
      <c r="B53" t="s">
        <v>857</v>
      </c>
    </row>
    <row r="54" spans="2:2">
      <c r="B54" t="s">
        <v>881</v>
      </c>
    </row>
    <row r="55" spans="2:2">
      <c r="B55" t="s">
        <v>882</v>
      </c>
    </row>
    <row r="56" spans="2:2">
      <c r="B56" t="s">
        <v>883</v>
      </c>
    </row>
    <row r="57" spans="2:2">
      <c r="B57" t="s">
        <v>884</v>
      </c>
    </row>
    <row r="58" spans="2:2">
      <c r="B58" t="s">
        <v>885</v>
      </c>
    </row>
    <row r="59" spans="2:2">
      <c r="B59" t="s">
        <v>805</v>
      </c>
    </row>
    <row r="60" spans="2:2">
      <c r="B60" t="s">
        <v>806</v>
      </c>
    </row>
    <row r="61" spans="2:2">
      <c r="B61" t="s">
        <v>886</v>
      </c>
    </row>
    <row r="62" spans="2:2">
      <c r="B62" t="s">
        <v>774</v>
      </c>
    </row>
    <row r="63" spans="2:2">
      <c r="B63" t="s">
        <v>351</v>
      </c>
    </row>
    <row r="64" spans="2:2">
      <c r="B64" t="s">
        <v>352</v>
      </c>
    </row>
    <row r="66" spans="2:2">
      <c r="B66" t="s">
        <v>887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profesional</vt:lpstr>
      <vt:lpstr>pacientes</vt:lpstr>
      <vt:lpstr>disponibilidad_profesional</vt:lpstr>
      <vt:lpstr>citas</vt:lpstr>
      <vt:lpstr>Reserva publica</vt:lpstr>
      <vt:lpstr>Vistas Publicas para Reservas</vt:lpstr>
      <vt:lpstr>sesionesClinicas</vt:lpstr>
      <vt:lpstr>profesionales_config</vt:lpstr>
      <vt:lpstr>Users</vt:lpstr>
      <vt:lpstr>AgendaOperativa</vt:lpstr>
      <vt:lpstr>Hoja2</vt:lpstr>
      <vt:lpstr>Flujo Reserva horas</vt:lpstr>
      <vt:lpstr>Validaciones Datos RUT y otros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2026-06-18T14:40:38Z</dcterms:modified>
</cp:coreProperties>
</file>