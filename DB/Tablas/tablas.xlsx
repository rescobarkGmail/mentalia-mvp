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odolfo\Mentalia-mvp\DB\Tablas\"/>
    </mc:Choice>
  </mc:AlternateContent>
  <xr:revisionPtr revIDLastSave="0" documentId="13_ncr:1_{67A15A32-D7F2-4D47-A407-022379A8CD71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profesional" sheetId="1" r:id="rId1"/>
    <sheet name="pacientes" sheetId="3" r:id="rId2"/>
    <sheet name="disponibilidad_profesional" sheetId="4" r:id="rId3"/>
    <sheet name="citas" sheetId="5" r:id="rId4"/>
    <sheet name="sesionesClinicas" sheetId="6" r:id="rId5"/>
    <sheet name="profesionales_config" sheetId="7" r:id="rId6"/>
    <sheet name="Users" sheetId="2" r:id="rId7"/>
    <sheet name="AgendaOperativ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 a="1"/>
  <c r="B3" i="8"/>
  <c r="B5" i="8" a="1"/>
  <c r="B5" i="8"/>
  <c r="B51" i="8" a="1"/>
  <c r="B51" i="8"/>
  <c r="B67" i="8" a="1"/>
  <c r="B67" i="8" s="1"/>
  <c r="B87" i="8" a="1"/>
  <c r="B87" i="8"/>
  <c r="B108" i="8" a="1"/>
  <c r="B108" i="8"/>
  <c r="B114" i="8" a="1"/>
  <c r="B114" i="8"/>
  <c r="B116" i="8" a="1"/>
  <c r="B116" i="8" s="1"/>
  <c r="B160" i="8" a="1"/>
  <c r="B160" i="8"/>
  <c r="J5" i="1"/>
  <c r="K5" i="1"/>
  <c r="L5" i="1"/>
  <c r="M5" i="1"/>
  <c r="J6" i="1"/>
  <c r="K6" i="1"/>
  <c r="L6" i="1"/>
  <c r="J7" i="1"/>
  <c r="K7" i="1"/>
  <c r="J8" i="1"/>
  <c r="K8" i="1"/>
  <c r="J9" i="1"/>
  <c r="K9" i="1"/>
  <c r="J10" i="1"/>
  <c r="K10" i="1"/>
  <c r="J11" i="1"/>
  <c r="K11" i="1"/>
  <c r="J12" i="1"/>
  <c r="K12" i="1"/>
  <c r="L12" i="1"/>
  <c r="J13" i="1"/>
  <c r="K13" i="1"/>
  <c r="J14" i="1"/>
  <c r="K14" i="1"/>
  <c r="M4" i="1"/>
  <c r="L4" i="1"/>
  <c r="K4" i="1"/>
  <c r="J4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<sst xmlns="http://schemas.openxmlformats.org/spreadsheetml/2006/main" count="622" uniqueCount="382">
  <si>
    <t>#</t>
  </si>
  <si>
    <t>id</t>
  </si>
  <si>
    <t>Name</t>
  </si>
  <si>
    <t>Type</t>
  </si>
  <si>
    <t>uuid</t>
  </si>
  <si>
    <t>Primary</t>
  </si>
  <si>
    <t>email</t>
  </si>
  <si>
    <t>varchar</t>
  </si>
  <si>
    <t>fecha_crea</t>
  </si>
  <si>
    <t>timestamp</t>
  </si>
  <si>
    <t>nombres</t>
  </si>
  <si>
    <t>apellidos</t>
  </si>
  <si>
    <t>identificador</t>
  </si>
  <si>
    <t>genero</t>
  </si>
  <si>
    <t>profesion</t>
  </si>
  <si>
    <t>vigente</t>
  </si>
  <si>
    <t>DescripcionCampo</t>
  </si>
  <si>
    <t>identificador unico</t>
  </si>
  <si>
    <t>email del usuario</t>
  </si>
  <si>
    <t>fecha creacion registro en sistema</t>
  </si>
  <si>
    <t>apellidos de la persona</t>
  </si>
  <si>
    <t>nombres de la persona</t>
  </si>
  <si>
    <t>rut, dni, ruc, tin, identificador nacional de la persona</t>
  </si>
  <si>
    <t>pais</t>
  </si>
  <si>
    <t>genero de la persona, masculino, femenino, otro</t>
  </si>
  <si>
    <t>profesion u oficio de la persona</t>
  </si>
  <si>
    <t>estado del usuario en el sistema, vigente = SI o bien vigente=NO</t>
  </si>
  <si>
    <t>pais de origen de la persona</t>
  </si>
  <si>
    <t>ID</t>
  </si>
  <si>
    <t>column</t>
  </si>
  <si>
    <t>type</t>
  </si>
  <si>
    <t>ui</t>
  </si>
  <si>
    <t>telefono</t>
  </si>
  <si>
    <t>telefono de contacto de la persona</t>
  </si>
  <si>
    <t>NOT NULL</t>
  </si>
  <si>
    <t>Create table</t>
  </si>
  <si>
    <t>Tabla</t>
  </si>
  <si>
    <t>(</t>
  </si>
  <si>
    <t>UNIQUE</t>
  </si>
  <si>
    <t>,</t>
  </si>
  <si>
    <t>);</t>
  </si>
  <si>
    <t>profesional</t>
  </si>
  <si>
    <r>
      <t>PRIMARY</t>
    </r>
    <r>
      <rPr>
        <sz val="7"/>
        <color rgb="FF444444"/>
        <rFont val="Consolas"/>
        <family val="3"/>
      </rPr>
      <t xml:space="preserve"> KEY</t>
    </r>
    <r>
      <rPr>
        <sz val="7"/>
        <color rgb="FF0000FF"/>
        <rFont val="Consolas"/>
        <family val="3"/>
      </rPr>
      <t xml:space="preserve"> references auth.users(id) on delete cascade</t>
    </r>
  </si>
  <si>
    <t>default now()</t>
  </si>
  <si>
    <t>boolean</t>
  </si>
  <si>
    <t>default true</t>
  </si>
  <si>
    <r>
      <t xml:space="preserve">alter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profesional enable row level security</t>
    </r>
    <r>
      <rPr>
        <sz val="7"/>
        <color rgb="FF000000"/>
        <rFont val="Consolas"/>
        <family val="3"/>
      </rPr>
      <t>;</t>
    </r>
  </si>
  <si>
    <r>
      <t>create</t>
    </r>
    <r>
      <rPr>
        <sz val="7"/>
        <color rgb="FF444444"/>
        <rFont val="Consolas"/>
        <family val="3"/>
      </rPr>
      <t xml:space="preserve"> policy "usuario puede crear su perfil"</t>
    </r>
  </si>
  <si>
    <r>
      <t>on</t>
    </r>
    <r>
      <rPr>
        <sz val="7"/>
        <color rgb="FF444444"/>
        <rFont val="Consolas"/>
        <family val="3"/>
      </rPr>
      <t xml:space="preserve"> profesional</t>
    </r>
  </si>
  <si>
    <r>
      <t>for</t>
    </r>
    <r>
      <rPr>
        <sz val="7"/>
        <color rgb="FF444444"/>
        <rFont val="Consolas"/>
        <family val="3"/>
      </rPr>
      <t xml:space="preserve"> insert</t>
    </r>
  </si>
  <si>
    <r>
      <t>with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check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id</t>
    </r>
    <r>
      <rPr>
        <sz val="7"/>
        <color rgb="FF000000"/>
        <rFont val="Consolas"/>
        <family val="3"/>
      </rPr>
      <t>);</t>
    </r>
  </si>
  <si>
    <r>
      <t>create</t>
    </r>
    <r>
      <rPr>
        <sz val="7"/>
        <color rgb="FF444444"/>
        <rFont val="Consolas"/>
        <family val="3"/>
      </rPr>
      <t xml:space="preserve"> policy "usuario puede leer su perfil"</t>
    </r>
  </si>
  <si>
    <r>
      <t>for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select</t>
    </r>
  </si>
  <si>
    <r>
      <t>using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id</t>
    </r>
    <r>
      <rPr>
        <sz val="7"/>
        <color rgb="FF000000"/>
        <rFont val="Consolas"/>
        <family val="3"/>
      </rPr>
      <t>);</t>
    </r>
  </si>
  <si>
    <r>
      <t>create</t>
    </r>
    <r>
      <rPr>
        <sz val="7"/>
        <color rgb="FF444444"/>
        <rFont val="Consolas"/>
        <family val="3"/>
      </rPr>
      <t xml:space="preserve"> policy "usuario puede actualizar su perfil"</t>
    </r>
  </si>
  <si>
    <r>
      <t>for</t>
    </r>
    <r>
      <rPr>
        <sz val="7"/>
        <color rgb="FF444444"/>
        <rFont val="Consolas"/>
        <family val="3"/>
      </rPr>
      <t xml:space="preserve"> update</t>
    </r>
  </si>
  <si>
    <r>
      <t>using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id</t>
    </r>
    <r>
      <rPr>
        <sz val="7"/>
        <color rgb="FF000000"/>
        <rFont val="Consolas"/>
        <family val="3"/>
      </rPr>
      <t>)</t>
    </r>
  </si>
  <si>
    <t>Para el mantenedor de datos personales del profesional</t>
  </si>
  <si>
    <t>obligatorio</t>
  </si>
  <si>
    <t>Campo</t>
  </si>
  <si>
    <t>tipo De dato</t>
  </si>
  <si>
    <t>Requisito</t>
  </si>
  <si>
    <t>opcional</t>
  </si>
  <si>
    <t>Permisos</t>
  </si>
  <si>
    <r>
      <t xml:space="preserve">alter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profesional</t>
    </r>
  </si>
  <si>
    <r>
      <t xml:space="preserve">add </t>
    </r>
    <r>
      <rPr>
        <sz val="7"/>
        <color rgb="FF0000FF"/>
        <rFont val="Consolas"/>
        <family val="3"/>
      </rPr>
      <t>constraint</t>
    </r>
    <r>
      <rPr>
        <sz val="7"/>
        <color rgb="FF444444"/>
        <rFont val="Consolas"/>
        <family val="3"/>
      </rPr>
      <t xml:space="preserve"> fk_profesional_user</t>
    </r>
  </si>
  <si>
    <r>
      <t>foreign</t>
    </r>
    <r>
      <rPr>
        <sz val="7"/>
        <color rgb="FF444444"/>
        <rFont val="Consolas"/>
        <family val="3"/>
      </rPr>
      <t xml:space="preserve"> key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id</t>
    </r>
    <r>
      <rPr>
        <sz val="7"/>
        <color rgb="FF000000"/>
        <rFont val="Consolas"/>
        <family val="3"/>
      </rPr>
      <t>)</t>
    </r>
  </si>
  <si>
    <r>
      <t>references</t>
    </r>
    <r>
      <rPr>
        <sz val="7"/>
        <color rgb="FF444444"/>
        <rFont val="Consolas"/>
        <family val="3"/>
      </rPr>
      <t xml:space="preserve"> 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users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id</t>
    </r>
    <r>
      <rPr>
        <sz val="7"/>
        <color rgb="FF000000"/>
        <rFont val="Consolas"/>
        <family val="3"/>
      </rPr>
      <t>)</t>
    </r>
  </si>
  <si>
    <r>
      <t>on</t>
    </r>
    <r>
      <rPr>
        <sz val="7"/>
        <color rgb="FF444444"/>
        <rFont val="Consolas"/>
        <family val="3"/>
      </rPr>
      <t xml:space="preserve"> delete cascade</t>
    </r>
    <r>
      <rPr>
        <sz val="7"/>
        <color rgb="FF000000"/>
        <rFont val="Consolas"/>
        <family val="3"/>
      </rPr>
      <t>;</t>
    </r>
  </si>
  <si>
    <t>Foreing Key</t>
  </si>
  <si>
    <r>
      <t>create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pacientes </t>
    </r>
    <r>
      <rPr>
        <sz val="7"/>
        <color rgb="FF000000"/>
        <rFont val="Consolas"/>
        <family val="3"/>
      </rPr>
      <t>(</t>
    </r>
  </si>
  <si>
    <r>
      <t xml:space="preserve">  id uuid </t>
    </r>
    <r>
      <rPr>
        <sz val="7"/>
        <color rgb="FF0000FF"/>
        <rFont val="Consolas"/>
        <family val="3"/>
      </rPr>
      <t>primary</t>
    </r>
    <r>
      <rPr>
        <sz val="7"/>
        <color rgb="FF444444"/>
        <rFont val="Consolas"/>
        <family val="3"/>
      </rPr>
      <t xml:space="preserve"> key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gen_random_uuid</t>
    </r>
    <r>
      <rPr>
        <sz val="7"/>
        <color rgb="FF000000"/>
        <rFont val="Consolas"/>
        <family val="3"/>
      </rPr>
      <t>(),</t>
    </r>
  </si>
  <si>
    <r>
      <t xml:space="preserve">  profesional_id uuid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</si>
  <si>
    <r>
      <t xml:space="preserve">    </t>
    </r>
    <r>
      <rPr>
        <sz val="7"/>
        <color rgb="FF0000FF"/>
        <rFont val="Consolas"/>
        <family val="3"/>
      </rPr>
      <t>references</t>
    </r>
    <r>
      <rPr>
        <sz val="7"/>
        <color rgb="FF444444"/>
        <rFont val="Consolas"/>
        <family val="3"/>
      </rPr>
      <t xml:space="preserve"> 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users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id</t>
    </r>
    <r>
      <rPr>
        <sz val="7"/>
        <color rgb="FF000000"/>
        <rFont val="Consolas"/>
        <family val="3"/>
      </rPr>
      <t>)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on</t>
    </r>
    <r>
      <rPr>
        <sz val="7"/>
        <color rgb="FF444444"/>
        <rFont val="Consolas"/>
        <family val="3"/>
      </rPr>
      <t xml:space="preserve"> delete cascade</t>
    </r>
    <r>
      <rPr>
        <sz val="7"/>
        <color rgb="FF000000"/>
        <rFont val="Consolas"/>
        <family val="3"/>
      </rPr>
      <t>,</t>
    </r>
  </si>
  <si>
    <r>
      <t xml:space="preserve">  nombres varchar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</si>
  <si>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apellidos varchar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</si>
  <si>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identificador varchar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</si>
  <si>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>  email varchar</t>
    </r>
    <r>
      <rPr>
        <sz val="7"/>
        <color rgb="FF000000"/>
        <rFont val="Consolas"/>
        <family val="3"/>
      </rPr>
      <t>,</t>
    </r>
  </si>
  <si>
    <r>
      <t>  telefono varchar</t>
    </r>
    <r>
      <rPr>
        <sz val="7"/>
        <color rgb="FF000000"/>
        <rFont val="Consolas"/>
        <family val="3"/>
      </rPr>
      <t>,</t>
    </r>
  </si>
  <si>
    <r>
      <t>  fecha_nacimiento timestamp</t>
    </r>
    <r>
      <rPr>
        <sz val="7"/>
        <color rgb="FF000000"/>
        <rFont val="Consolas"/>
        <family val="3"/>
      </rPr>
      <t>,</t>
    </r>
  </si>
  <si>
    <r>
      <t>  contacto_urgencia varchar</t>
    </r>
    <r>
      <rPr>
        <sz val="7"/>
        <color rgb="FF000000"/>
        <rFont val="Consolas"/>
        <family val="3"/>
      </rPr>
      <t>,</t>
    </r>
  </si>
  <si>
    <r>
      <t>  telefono_emergencia varchar</t>
    </r>
    <r>
      <rPr>
        <sz val="7"/>
        <color rgb="FF000000"/>
        <rFont val="Consolas"/>
        <family val="3"/>
      </rPr>
      <t>,</t>
    </r>
  </si>
  <si>
    <r>
      <t xml:space="preserve">  fecha_crea timestamp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now</t>
    </r>
    <r>
      <rPr>
        <sz val="7"/>
        <color rgb="FF000000"/>
        <rFont val="Consolas"/>
        <family val="3"/>
      </rPr>
      <t>(),</t>
    </r>
  </si>
  <si>
    <r>
      <t xml:space="preserve">  activo boolean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true</t>
    </r>
  </si>
  <si>
    <t xml:space="preserve"> id</t>
  </si>
  <si>
    <t>primary key</t>
  </si>
  <si>
    <t xml:space="preserve">uuid </t>
  </si>
  <si>
    <t>not null</t>
  </si>
  <si>
    <t>references auth.users(id) on delete cascade</t>
  </si>
  <si>
    <t>llave primaria del regsitro de pacientes</t>
  </si>
  <si>
    <t>id del profesional</t>
  </si>
  <si>
    <t xml:space="preserve">profesional_id </t>
  </si>
  <si>
    <t>nombres del paciente</t>
  </si>
  <si>
    <t>apellidos del paciente</t>
  </si>
  <si>
    <t>fecha_nacimiento</t>
  </si>
  <si>
    <t>contacto_urgencia</t>
  </si>
  <si>
    <t>telefono_emergencia</t>
  </si>
  <si>
    <t xml:space="preserve"> fecha_crea</t>
  </si>
  <si>
    <t>activo</t>
  </si>
  <si>
    <r>
      <t>  genero varchar</t>
    </r>
    <r>
      <rPr>
        <sz val="7"/>
        <color rgb="FF000000"/>
        <rFont val="Consolas"/>
        <family val="3"/>
      </rPr>
      <t>,</t>
    </r>
  </si>
  <si>
    <r>
      <rPr>
        <sz val="7"/>
        <color rgb="FF444444"/>
        <rFont val="Consolas"/>
        <family val="3"/>
      </rPr>
      <t xml:space="preserve">--drop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if exists pacientes</t>
    </r>
    <r>
      <rPr>
        <sz val="7"/>
        <color rgb="FF000000"/>
        <rFont val="Consolas"/>
        <family val="3"/>
      </rPr>
      <t>;</t>
    </r>
  </si>
  <si>
    <t>--drop table if exists profesional;</t>
  </si>
  <si>
    <r>
      <t xml:space="preserve">alter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pacientes enable row level security</t>
    </r>
    <r>
      <rPr>
        <sz val="7"/>
        <color rgb="FF000000"/>
        <rFont val="Consolas"/>
        <family val="3"/>
      </rPr>
      <t>;</t>
    </r>
  </si>
  <si>
    <r>
      <t>create</t>
    </r>
    <r>
      <rPr>
        <sz val="7"/>
        <color rgb="FF444444"/>
        <rFont val="Consolas"/>
        <family val="3"/>
      </rPr>
      <t xml:space="preserve"> policy "profesional ve sus pacientes"</t>
    </r>
  </si>
  <si>
    <r>
      <t>on</t>
    </r>
    <r>
      <rPr>
        <sz val="7"/>
        <color rgb="FF444444"/>
        <rFont val="Consolas"/>
        <family val="3"/>
      </rPr>
      <t xml:space="preserve"> pacientes</t>
    </r>
  </si>
  <si>
    <r>
      <t>using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profesional_id</t>
    </r>
    <r>
      <rPr>
        <sz val="7"/>
        <color rgb="FF000000"/>
        <rFont val="Consolas"/>
        <family val="3"/>
      </rPr>
      <t>);</t>
    </r>
  </si>
  <si>
    <r>
      <t>create</t>
    </r>
    <r>
      <rPr>
        <sz val="7"/>
        <color rgb="FF444444"/>
        <rFont val="Consolas"/>
        <family val="3"/>
      </rPr>
      <t xml:space="preserve"> policy "profesional crea pacientes"</t>
    </r>
  </si>
  <si>
    <r>
      <t>with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check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profesional_id</t>
    </r>
    <r>
      <rPr>
        <sz val="7"/>
        <color rgb="FF000000"/>
        <rFont val="Consolas"/>
        <family val="3"/>
      </rPr>
      <t>);</t>
    </r>
  </si>
  <si>
    <r>
      <t>create</t>
    </r>
    <r>
      <rPr>
        <sz val="7"/>
        <color rgb="FF444444"/>
        <rFont val="Consolas"/>
        <family val="3"/>
      </rPr>
      <t xml:space="preserve"> policy "profesional actualiza pacientes"</t>
    </r>
  </si>
  <si>
    <r>
      <t>create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disponibilidad_profesional </t>
    </r>
    <r>
      <rPr>
        <sz val="7"/>
        <color rgb="FF000000"/>
        <rFont val="Consolas"/>
        <family val="3"/>
      </rPr>
      <t>(</t>
    </r>
  </si>
  <si>
    <r>
      <t xml:space="preserve">  profesional_id uuid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references</t>
    </r>
    <r>
      <rPr>
        <sz val="7"/>
        <color rgb="FF444444"/>
        <rFont val="Consolas"/>
        <family val="3"/>
      </rPr>
      <t xml:space="preserve"> 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users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id</t>
    </r>
    <r>
      <rPr>
        <sz val="7"/>
        <color rgb="FF000000"/>
        <rFont val="Consolas"/>
        <family val="3"/>
      </rPr>
      <t>)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on</t>
    </r>
    <r>
      <rPr>
        <sz val="7"/>
        <color rgb="FF444444"/>
        <rFont val="Consolas"/>
        <family val="3"/>
      </rPr>
      <t xml:space="preserve"> delete cascade</t>
    </r>
    <r>
      <rPr>
        <sz val="7"/>
        <color rgb="FF000000"/>
        <rFont val="Consolas"/>
        <family val="3"/>
      </rPr>
      <t>,</t>
    </r>
  </si>
  <si>
    <r>
      <t xml:space="preserve">  dia_semana int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</si>
  <si>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hora_inicio time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</si>
  <si>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hora_fin time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</si>
  <si>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duracion_minutos int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</t>
    </r>
    <r>
      <rPr>
        <sz val="7"/>
        <color rgb="FF098658"/>
        <rFont val="Consolas"/>
        <family val="3"/>
      </rPr>
      <t>60</t>
    </r>
    <r>
      <rPr>
        <sz val="7"/>
        <color rgb="FF000000"/>
        <rFont val="Consolas"/>
        <family val="3"/>
      </rPr>
      <t>,</t>
    </r>
  </si>
  <si>
    <r>
      <t xml:space="preserve">  activo boolean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true</t>
    </r>
    <r>
      <rPr>
        <sz val="7"/>
        <color rgb="FF000000"/>
        <rFont val="Consolas"/>
        <family val="3"/>
      </rPr>
      <t>,</t>
    </r>
  </si>
  <si>
    <r>
      <t xml:space="preserve">  fecha_crea timestamp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now</t>
    </r>
    <r>
      <rPr>
        <sz val="7"/>
        <color rgb="FF000000"/>
        <rFont val="Consolas"/>
        <family val="3"/>
      </rPr>
      <t>()</t>
    </r>
  </si>
  <si>
    <r>
      <t xml:space="preserve">alter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disponibilidad_profesional enable row level security</t>
    </r>
    <r>
      <rPr>
        <sz val="7"/>
        <color rgb="FF000000"/>
        <rFont val="Consolas"/>
        <family val="3"/>
      </rPr>
      <t>;</t>
    </r>
  </si>
  <si>
    <r>
      <t>create</t>
    </r>
    <r>
      <rPr>
        <sz val="7"/>
        <color rgb="FF444444"/>
        <rFont val="Consolas"/>
        <family val="3"/>
      </rPr>
      <t xml:space="preserve"> policy "profesional ve su disponibilidad"</t>
    </r>
  </si>
  <si>
    <r>
      <t>on</t>
    </r>
    <r>
      <rPr>
        <sz val="7"/>
        <color rgb="FF444444"/>
        <rFont val="Consolas"/>
        <family val="3"/>
      </rPr>
      <t xml:space="preserve"> disponibilidad_profesional</t>
    </r>
  </si>
  <si>
    <r>
      <t>create</t>
    </r>
    <r>
      <rPr>
        <sz val="7"/>
        <color rgb="FF444444"/>
        <rFont val="Consolas"/>
        <family val="3"/>
      </rPr>
      <t xml:space="preserve"> policy "profesional crea su disponibilidad"</t>
    </r>
  </si>
  <si>
    <r>
      <t>create</t>
    </r>
    <r>
      <rPr>
        <sz val="7"/>
        <color rgb="FF444444"/>
        <rFont val="Consolas"/>
        <family val="3"/>
      </rPr>
      <t xml:space="preserve"> policy "profesional actualiza su disponibilidad"</t>
    </r>
  </si>
  <si>
    <r>
      <t>using</t>
    </r>
    <r>
      <rPr>
        <sz val="7"/>
        <color rgb="FF444444"/>
        <rFont val="Consolas"/>
        <family val="3"/>
      </rPr>
      <t xml:space="preserve"> 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auth</t>
    </r>
    <r>
      <rPr>
        <sz val="7"/>
        <color rgb="FF000000"/>
        <rFont val="Consolas"/>
        <family val="3"/>
      </rPr>
      <t>.</t>
    </r>
    <r>
      <rPr>
        <sz val="7"/>
        <color rgb="FF444444"/>
        <rFont val="Consolas"/>
        <family val="3"/>
      </rPr>
      <t>uid</t>
    </r>
    <r>
      <rPr>
        <sz val="7"/>
        <color rgb="FF000000"/>
        <rFont val="Consolas"/>
        <family val="3"/>
      </rPr>
      <t>()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=</t>
    </r>
    <r>
      <rPr>
        <sz val="7"/>
        <color rgb="FF444444"/>
        <rFont val="Consolas"/>
        <family val="3"/>
      </rPr>
      <t xml:space="preserve"> profesional_id</t>
    </r>
    <r>
      <rPr>
        <sz val="7"/>
        <color rgb="FF000000"/>
        <rFont val="Consolas"/>
        <family val="3"/>
      </rPr>
      <t>)</t>
    </r>
  </si>
  <si>
    <r>
      <t>create</t>
    </r>
    <r>
      <rPr>
        <sz val="7"/>
        <color rgb="FF444444"/>
        <rFont val="Consolas"/>
        <family val="3"/>
      </rPr>
      <t xml:space="preserve"> policy "profesional elimina su disponibilidad"</t>
    </r>
  </si>
  <si>
    <r>
      <t>for</t>
    </r>
    <r>
      <rPr>
        <sz val="7"/>
        <color rgb="FF444444"/>
        <rFont val="Consolas"/>
        <family val="3"/>
      </rPr>
      <t xml:space="preserve"> delete</t>
    </r>
  </si>
  <si>
    <t>email del paciente</t>
  </si>
  <si>
    <t>telefono del paciente</t>
  </si>
  <si>
    <t>genero del paciente</t>
  </si>
  <si>
    <t>fecha de nacimiento del paciente</t>
  </si>
  <si>
    <t>nombre de la persona para contactar en caso de emergencia</t>
  </si>
  <si>
    <t>telefono de la persona en caso de contactar</t>
  </si>
  <si>
    <t>fecha creacion del registro</t>
  </si>
  <si>
    <t>estado del paciente en el sistema, True o False</t>
  </si>
  <si>
    <t xml:space="preserve"> primary key default gen_random_uuid()</t>
  </si>
  <si>
    <t>id unico del registro disponibilidad profesional</t>
  </si>
  <si>
    <r>
      <t xml:space="preserve">id uuid </t>
    </r>
    <r>
      <rPr>
        <sz val="7"/>
        <color rgb="FF0000FF"/>
        <rFont val="Consolas"/>
        <family val="3"/>
      </rPr>
      <t>primary</t>
    </r>
    <r>
      <rPr>
        <sz val="7"/>
        <color rgb="FF444444"/>
        <rFont val="Consolas"/>
        <family val="3"/>
      </rPr>
      <t xml:space="preserve"> key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gen_random_uuid</t>
    </r>
    <r>
      <rPr>
        <sz val="7"/>
        <color rgb="FF000000"/>
        <rFont val="Consolas"/>
        <family val="3"/>
      </rPr>
      <t>(),</t>
    </r>
  </si>
  <si>
    <t>profesional_id</t>
  </si>
  <si>
    <t>references auth.users(id) on delete cascade,</t>
  </si>
  <si>
    <t>dia_semana</t>
  </si>
  <si>
    <t xml:space="preserve"> int </t>
  </si>
  <si>
    <t xml:space="preserve">hora_inicio </t>
  </si>
  <si>
    <t xml:space="preserve">time </t>
  </si>
  <si>
    <t>hora_fin</t>
  </si>
  <si>
    <t>duracion_minutos</t>
  </si>
  <si>
    <t>default 60</t>
  </si>
  <si>
    <t xml:space="preserve"> boolean </t>
  </si>
  <si>
    <t>default true,</t>
  </si>
  <si>
    <t xml:space="preserve"> timestamp </t>
  </si>
  <si>
    <t>citas</t>
  </si>
  <si>
    <r>
      <t>create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citas </t>
    </r>
    <r>
      <rPr>
        <sz val="7"/>
        <color rgb="FF000000"/>
        <rFont val="Consolas"/>
        <family val="3"/>
      </rPr>
      <t>(</t>
    </r>
  </si>
  <si>
    <r>
      <t xml:space="preserve">  paciente_id uuid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references</t>
    </r>
    <r>
      <rPr>
        <sz val="7"/>
        <color rgb="FF444444"/>
        <rFont val="Consolas"/>
        <family val="3"/>
      </rPr>
      <t xml:space="preserve"> pacientes</t>
    </r>
    <r>
      <rPr>
        <sz val="7"/>
        <color rgb="FF000000"/>
        <rFont val="Consolas"/>
        <family val="3"/>
      </rPr>
      <t>(</t>
    </r>
    <r>
      <rPr>
        <sz val="7"/>
        <color rgb="FF444444"/>
        <rFont val="Consolas"/>
        <family val="3"/>
      </rPr>
      <t>id</t>
    </r>
    <r>
      <rPr>
        <sz val="7"/>
        <color rgb="FF000000"/>
        <rFont val="Consolas"/>
        <family val="3"/>
      </rPr>
      <t>)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on</t>
    </r>
    <r>
      <rPr>
        <sz val="7"/>
        <color rgb="FF444444"/>
        <rFont val="Consolas"/>
        <family val="3"/>
      </rPr>
      <t xml:space="preserve"> delete cascade</t>
    </r>
    <r>
      <rPr>
        <sz val="7"/>
        <color rgb="FF000000"/>
        <rFont val="Consolas"/>
        <family val="3"/>
      </rPr>
      <t>,</t>
    </r>
  </si>
  <si>
    <r>
      <t xml:space="preserve">  fecha date </t>
    </r>
    <r>
      <rPr>
        <sz val="7"/>
        <color rgb="FF778899"/>
        <rFont val="Consolas"/>
        <family val="3"/>
      </rPr>
      <t>not</t>
    </r>
    <r>
      <rPr>
        <sz val="7"/>
        <color rgb="FF444444"/>
        <rFont val="Consolas"/>
        <family val="3"/>
      </rPr>
      <t xml:space="preserve"> </t>
    </r>
    <r>
      <rPr>
        <sz val="7"/>
        <color rgb="FF778899"/>
        <rFont val="Consolas"/>
        <family val="3"/>
      </rPr>
      <t>null</t>
    </r>
    <r>
      <rPr>
        <sz val="7"/>
        <color rgb="FF000000"/>
        <rFont val="Consolas"/>
        <family val="3"/>
      </rPr>
      <t>,</t>
    </r>
  </si>
  <si>
    <r>
      <t xml:space="preserve">  estado varchar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</t>
    </r>
    <r>
      <rPr>
        <sz val="7"/>
        <color rgb="FF24B47E"/>
        <rFont val="Consolas"/>
        <family val="3"/>
      </rPr>
      <t>'reservada'</t>
    </r>
    <r>
      <rPr>
        <sz val="7"/>
        <color rgb="FF000000"/>
        <rFont val="Consolas"/>
        <family val="3"/>
      </rPr>
      <t>,</t>
    </r>
  </si>
  <si>
    <r>
      <t xml:space="preserve">  origen varchar </t>
    </r>
    <r>
      <rPr>
        <sz val="7"/>
        <color rgb="FF0000FF"/>
        <rFont val="Consolas"/>
        <family val="3"/>
      </rPr>
      <t>default</t>
    </r>
    <r>
      <rPr>
        <sz val="7"/>
        <color rgb="FF444444"/>
        <rFont val="Consolas"/>
        <family val="3"/>
      </rPr>
      <t xml:space="preserve"> </t>
    </r>
    <r>
      <rPr>
        <sz val="7"/>
        <color rgb="FF24B47E"/>
        <rFont val="Consolas"/>
        <family val="3"/>
      </rPr>
      <t>'Mentalia'</t>
    </r>
    <r>
      <rPr>
        <sz val="7"/>
        <color rgb="FF000000"/>
        <rFont val="Consolas"/>
        <family val="3"/>
      </rPr>
      <t>,</t>
    </r>
  </si>
  <si>
    <r>
      <t xml:space="preserve">alter </t>
    </r>
    <r>
      <rPr>
        <sz val="7"/>
        <color rgb="FF0000FF"/>
        <rFont val="Consolas"/>
        <family val="3"/>
      </rPr>
      <t>table</t>
    </r>
    <r>
      <rPr>
        <sz val="7"/>
        <color rgb="FF444444"/>
        <rFont val="Consolas"/>
        <family val="3"/>
      </rPr>
      <t xml:space="preserve"> citas enable row level security</t>
    </r>
    <r>
      <rPr>
        <sz val="7"/>
        <color rgb="FF000000"/>
        <rFont val="Consolas"/>
        <family val="3"/>
      </rPr>
      <t>;</t>
    </r>
  </si>
  <si>
    <r>
      <t>create</t>
    </r>
    <r>
      <rPr>
        <sz val="7"/>
        <color rgb="FF444444"/>
        <rFont val="Consolas"/>
        <family val="3"/>
      </rPr>
      <t xml:space="preserve"> policy "profesional ve sus citas"</t>
    </r>
  </si>
  <si>
    <r>
      <t>on</t>
    </r>
    <r>
      <rPr>
        <sz val="7"/>
        <color rgb="FF444444"/>
        <rFont val="Consolas"/>
        <family val="3"/>
      </rPr>
      <t xml:space="preserve"> citas </t>
    </r>
    <r>
      <rPr>
        <sz val="7"/>
        <color rgb="FF0000FF"/>
        <rFont val="Consolas"/>
        <family val="3"/>
      </rPr>
      <t>for</t>
    </r>
    <r>
      <rPr>
        <sz val="7"/>
        <color rgb="FF444444"/>
        <rFont val="Consolas"/>
        <family val="3"/>
      </rPr>
      <t xml:space="preserve"> </t>
    </r>
    <r>
      <rPr>
        <sz val="7"/>
        <color rgb="FF0000FF"/>
        <rFont val="Consolas"/>
        <family val="3"/>
      </rPr>
      <t>select</t>
    </r>
  </si>
  <si>
    <r>
      <t>create</t>
    </r>
    <r>
      <rPr>
        <sz val="7"/>
        <color rgb="FF444444"/>
        <rFont val="Consolas"/>
        <family val="3"/>
      </rPr>
      <t xml:space="preserve"> policy "profesional crea sus citas"</t>
    </r>
  </si>
  <si>
    <r>
      <t>on</t>
    </r>
    <r>
      <rPr>
        <sz val="7"/>
        <color rgb="FF444444"/>
        <rFont val="Consolas"/>
        <family val="3"/>
      </rPr>
      <t xml:space="preserve"> citas </t>
    </r>
    <r>
      <rPr>
        <sz val="7"/>
        <color rgb="FF0000FF"/>
        <rFont val="Consolas"/>
        <family val="3"/>
      </rPr>
      <t>for</t>
    </r>
    <r>
      <rPr>
        <sz val="7"/>
        <color rgb="FF444444"/>
        <rFont val="Consolas"/>
        <family val="3"/>
      </rPr>
      <t xml:space="preserve"> insert</t>
    </r>
  </si>
  <si>
    <r>
      <t>create</t>
    </r>
    <r>
      <rPr>
        <sz val="7"/>
        <color rgb="FF444444"/>
        <rFont val="Consolas"/>
        <family val="3"/>
      </rPr>
      <t xml:space="preserve"> policy "profesional actualiza sus citas"</t>
    </r>
  </si>
  <si>
    <r>
      <t>on</t>
    </r>
    <r>
      <rPr>
        <sz val="7"/>
        <color rgb="FF444444"/>
        <rFont val="Consolas"/>
        <family val="3"/>
      </rPr>
      <t xml:space="preserve"> citas </t>
    </r>
    <r>
      <rPr>
        <sz val="7"/>
        <color rgb="FF0000FF"/>
        <rFont val="Consolas"/>
        <family val="3"/>
      </rPr>
      <t>for</t>
    </r>
    <r>
      <rPr>
        <sz val="7"/>
        <color rgb="FF444444"/>
        <rFont val="Consolas"/>
        <family val="3"/>
      </rPr>
      <t xml:space="preserve"> update</t>
    </r>
  </si>
  <si>
    <t>Juan Eduardo</t>
  </si>
  <si>
    <t>Emilia Beatriz</t>
  </si>
  <si>
    <t>Silvia Inés</t>
  </si>
  <si>
    <t>Michelle</t>
  </si>
  <si>
    <t>Verónica</t>
  </si>
  <si>
    <t>Pedro Antonio</t>
  </si>
  <si>
    <t>Matías Alonso</t>
  </si>
  <si>
    <t>Fernado Valentín</t>
  </si>
  <si>
    <t>Carlos Danilo</t>
  </si>
  <si>
    <t>Patricio Esteban</t>
  </si>
  <si>
    <t>Insaurralde</t>
  </si>
  <si>
    <t>Viña Santander</t>
  </si>
  <si>
    <t>Sandoval</t>
  </si>
  <si>
    <t>Cornejo</t>
  </si>
  <si>
    <t>Tapia</t>
  </si>
  <si>
    <t>Gotti</t>
  </si>
  <si>
    <t>Escobar</t>
  </si>
  <si>
    <t>Urrutia Veloso</t>
  </si>
  <si>
    <t>Astudillo de Marco</t>
  </si>
  <si>
    <t>Peña Ross</t>
  </si>
  <si>
    <t>Profesionales</t>
  </si>
  <si>
    <t>Pacientes</t>
  </si>
  <si>
    <t>7000000-8</t>
  </si>
  <si>
    <t>7000001-6</t>
  </si>
  <si>
    <t>7000002-4</t>
  </si>
  <si>
    <t>7000003-2</t>
  </si>
  <si>
    <t>7000004-0</t>
  </si>
  <si>
    <t>7000005-9</t>
  </si>
  <si>
    <t>7000006-7</t>
  </si>
  <si>
    <t>7000007-5</t>
  </si>
  <si>
    <t>7000008-3</t>
  </si>
  <si>
    <t>7000009-1</t>
  </si>
  <si>
    <t>8000000-6</t>
  </si>
  <si>
    <t>8000001-4</t>
  </si>
  <si>
    <t>8000002-2</t>
  </si>
  <si>
    <t>8000003-0</t>
  </si>
  <si>
    <t>8000004-9</t>
  </si>
  <si>
    <t>8000005-7</t>
  </si>
  <si>
    <t>8000006-5</t>
  </si>
  <si>
    <t>8000007-3</t>
  </si>
  <si>
    <t>8000008-1</t>
  </si>
  <si>
    <t>8000009-K</t>
  </si>
  <si>
    <t>Luisa</t>
  </si>
  <si>
    <t>Almendra</t>
  </si>
  <si>
    <t>Elizabeth</t>
  </si>
  <si>
    <t>Javiera</t>
  </si>
  <si>
    <t>Isabel</t>
  </si>
  <si>
    <t>Andrés</t>
  </si>
  <si>
    <t>Felipe</t>
  </si>
  <si>
    <t>Vicente</t>
  </si>
  <si>
    <t>Gonzalo</t>
  </si>
  <si>
    <t>Diego</t>
  </si>
  <si>
    <t>Correa</t>
  </si>
  <si>
    <t>Tapia Morales</t>
  </si>
  <si>
    <t>Henke Rossi</t>
  </si>
  <si>
    <t>Venturi Sole</t>
  </si>
  <si>
    <t>Ragussa Molina</t>
  </si>
  <si>
    <t>Toledo Jiménez</t>
  </si>
  <si>
    <t>Morales Roco</t>
  </si>
  <si>
    <t>Corrales Jara</t>
  </si>
  <si>
    <t>San Martín Urra</t>
  </si>
  <si>
    <t>Esparza Vinoccio</t>
  </si>
  <si>
    <t>rescobark@hotmail.com</t>
  </si>
  <si>
    <t>rodolfo.escobar@gmail.com</t>
  </si>
  <si>
    <t>Hombre</t>
  </si>
  <si>
    <t>Mujer</t>
  </si>
  <si>
    <t>mentalia200@gmail.com</t>
  </si>
  <si>
    <t>mentalia.2026</t>
  </si>
  <si>
    <t>RUT</t>
  </si>
  <si>
    <t>mentalia201@gmail.com</t>
  </si>
  <si>
    <t>clave gmail</t>
  </si>
  <si>
    <t>Clave mentalia</t>
  </si>
  <si>
    <t>mentalia</t>
  </si>
  <si>
    <t>fecha_inicio date default current_date,</t>
  </si>
  <si>
    <t>fecha_fin date</t>
  </si>
  <si>
    <t>fecha_inicio</t>
  </si>
  <si>
    <t>fecha_fin</t>
  </si>
  <si>
    <t>date</t>
  </si>
  <si>
    <t>current_date</t>
  </si>
  <si>
    <t>create table sesiones_clinicas (</t>
  </si>
  <si>
    <t xml:space="preserve">  id uuid primary key default gen_random_uuid(),</t>
  </si>
  <si>
    <t xml:space="preserve">  cita_id uuid references citas(id) on delete cascade,</t>
  </si>
  <si>
    <t xml:space="preserve">  profesional_id uuid references auth.users(id) on delete cascade,</t>
  </si>
  <si>
    <t xml:space="preserve">  paciente_id uuid references pacientes(id) on delete cascade,</t>
  </si>
  <si>
    <t xml:space="preserve">  fecha timestamp default now(),</t>
  </si>
  <si>
    <t xml:space="preserve">  motivo_consulta text,</t>
  </si>
  <si>
    <t xml:space="preserve">  notas_clinicas text,</t>
  </si>
  <si>
    <t xml:space="preserve">  observaciones text,</t>
  </si>
  <si>
    <t xml:space="preserve">  tareas_acuerdos text,</t>
  </si>
  <si>
    <t xml:space="preserve">  estado varchar default 'borrador',</t>
  </si>
  <si>
    <t xml:space="preserve">  fecha_crea timestamp default now()</t>
  </si>
  <si>
    <t>alter table sesiones_clinicas enable row level security;</t>
  </si>
  <si>
    <t>create policy "profesional puede ver sus sesiones"</t>
  </si>
  <si>
    <t>on sesiones_clinicas</t>
  </si>
  <si>
    <t>for select</t>
  </si>
  <si>
    <t>using (auth.uid() = profesional_id);</t>
  </si>
  <si>
    <t>create policy "profesional puede crear sus sesiones"</t>
  </si>
  <si>
    <t>for insert</t>
  </si>
  <si>
    <t>with check (auth.uid() = profesional_id);</t>
  </si>
  <si>
    <t>create policy "profesional puede actualizar sus sesiones"</t>
  </si>
  <si>
    <t>for update</t>
  </si>
  <si>
    <t>using (auth.uid() = profesional_id)</t>
  </si>
  <si>
    <t>create policy "profesional puede eliminar sus sesiones"</t>
  </si>
  <si>
    <t>for delete</t>
  </si>
  <si>
    <r>
      <t xml:space="preserve">alter </t>
    </r>
    <r>
      <rPr>
        <sz val="10"/>
        <color rgb="FF0000FF"/>
        <rFont val="Consolas"/>
        <family val="3"/>
      </rPr>
      <t>table</t>
    </r>
    <r>
      <rPr>
        <sz val="10"/>
        <color rgb="FF444444"/>
        <rFont val="Consolas"/>
        <family val="3"/>
      </rPr>
      <t xml:space="preserve"> sesiones_clinicas</t>
    </r>
  </si>
  <si>
    <t>alter table sesiones_clinicas</t>
  </si>
  <si>
    <t>add column if not exists resumen_sesion text,</t>
  </si>
  <si>
    <t>add column if not exists foco_trabajado text,</t>
  </si>
  <si>
    <t>add column if not exists proxima_sesion text;</t>
  </si>
  <si>
    <r>
      <t xml:space="preserve">alter </t>
    </r>
    <r>
      <rPr>
        <u/>
        <sz val="10"/>
        <color rgb="FF0000FF"/>
        <rFont val="Consolas"/>
        <family val="3"/>
      </rPr>
      <t>table</t>
    </r>
    <r>
      <rPr>
        <u/>
        <sz val="10"/>
        <color rgb="FF444444"/>
        <rFont val="Consolas"/>
        <family val="3"/>
      </rPr>
      <t xml:space="preserve"> profesional</t>
    </r>
  </si>
  <si>
    <r>
      <t xml:space="preserve">add </t>
    </r>
    <r>
      <rPr>
        <u/>
        <sz val="10"/>
        <color rgb="FF0000FF"/>
        <rFont val="Consolas"/>
        <family val="3"/>
      </rPr>
      <t>column</t>
    </r>
    <r>
      <rPr>
        <u/>
        <sz val="10"/>
        <color rgb="FF444444"/>
        <rFont val="Consolas"/>
        <family val="3"/>
      </rPr>
      <t xml:space="preserve"> almacenamiento_clinico varchar </t>
    </r>
    <r>
      <rPr>
        <u/>
        <sz val="10"/>
        <color rgb="FF0000FF"/>
        <rFont val="Consolas"/>
        <family val="3"/>
      </rPr>
      <t>default</t>
    </r>
    <r>
      <rPr>
        <u/>
        <sz val="10"/>
        <color rgb="FF444444"/>
        <rFont val="Consolas"/>
        <family val="3"/>
      </rPr>
      <t xml:space="preserve"> </t>
    </r>
    <r>
      <rPr>
        <u/>
        <sz val="10"/>
        <color rgb="FF24B47E"/>
        <rFont val="Consolas"/>
        <family val="3"/>
      </rPr>
      <t>'mentalia_cloud'</t>
    </r>
    <r>
      <rPr>
        <u/>
        <sz val="10"/>
        <color rgb="FF000000"/>
        <rFont val="Consolas"/>
        <family val="3"/>
      </rPr>
      <t>;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</si>
  <si>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storage_provider varchar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'mentalia_cloud'</t>
    </r>
    <r>
      <rPr>
        <sz val="10"/>
        <color rgb="FF000000"/>
        <rFont val="Consolas"/>
        <family val="3"/>
      </rPr>
      <t>,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</si>
  <si>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storage_path text</t>
    </r>
    <r>
      <rPr>
        <sz val="10"/>
        <color rgb="FF000000"/>
        <rFont val="Consolas"/>
        <family val="3"/>
      </rPr>
      <t>,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</si>
  <si>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contenido_local boolean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</t>
    </r>
    <r>
      <rPr>
        <sz val="10"/>
        <color rgb="FF0000FF"/>
        <rFont val="Consolas"/>
        <family val="3"/>
      </rPr>
      <t>false</t>
    </r>
    <r>
      <rPr>
        <sz val="10"/>
        <color rgb="FF000000"/>
        <rFont val="Consolas"/>
        <family val="3"/>
      </rPr>
      <t>;</t>
    </r>
  </si>
  <si>
    <r>
      <t>create</t>
    </r>
    <r>
      <rPr>
        <sz val="10"/>
        <color rgb="FF444444"/>
        <rFont val="Consolas"/>
        <family val="3"/>
      </rPr>
      <t xml:space="preserve"> </t>
    </r>
    <r>
      <rPr>
        <sz val="10"/>
        <color rgb="FF0000FF"/>
        <rFont val="Consolas"/>
        <family val="3"/>
      </rPr>
      <t>table</t>
    </r>
    <r>
      <rPr>
        <sz val="10"/>
        <color rgb="FF444444"/>
        <rFont val="Consolas"/>
        <family val="3"/>
      </rPr>
      <t xml:space="preserve"> if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exists profesionales_config </t>
    </r>
    <r>
      <rPr>
        <sz val="10"/>
        <color rgb="FF000000"/>
        <rFont val="Consolas"/>
        <family val="3"/>
      </rPr>
      <t>(</t>
    </r>
  </si>
  <si>
    <r>
      <t xml:space="preserve">  id uuid </t>
    </r>
    <r>
      <rPr>
        <sz val="10"/>
        <color rgb="FF0000FF"/>
        <rFont val="Consolas"/>
        <family val="3"/>
      </rPr>
      <t>primary</t>
    </r>
    <r>
      <rPr>
        <sz val="10"/>
        <color rgb="FF444444"/>
        <rFont val="Consolas"/>
        <family val="3"/>
      </rPr>
      <t xml:space="preserve"> key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gen_random_uuid</t>
    </r>
    <r>
      <rPr>
        <sz val="10"/>
        <color rgb="FF000000"/>
        <rFont val="Consolas"/>
        <family val="3"/>
      </rPr>
      <t>(),</t>
    </r>
  </si>
  <si>
    <r>
      <t xml:space="preserve">  profesional_id uuid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</t>
    </r>
    <r>
      <rPr>
        <sz val="10"/>
        <color rgb="FF778899"/>
        <rFont val="Consolas"/>
        <family val="3"/>
      </rPr>
      <t>null</t>
    </r>
    <r>
      <rPr>
        <sz val="10"/>
        <color rgb="FF444444"/>
        <rFont val="Consolas"/>
        <family val="3"/>
      </rPr>
      <t xml:space="preserve"> </t>
    </r>
    <r>
      <rPr>
        <sz val="10"/>
        <color rgb="FF0000FF"/>
        <rFont val="Consolas"/>
        <family val="3"/>
      </rPr>
      <t>unique</t>
    </r>
  </si>
  <si>
    <r>
      <t xml:space="preserve">    </t>
    </r>
    <r>
      <rPr>
        <sz val="10"/>
        <color rgb="FF0000FF"/>
        <rFont val="Consolas"/>
        <family val="3"/>
      </rPr>
      <t>references</t>
    </r>
    <r>
      <rPr>
        <sz val="10"/>
        <color rgb="FF444444"/>
        <rFont val="Consolas"/>
        <family val="3"/>
      </rPr>
      <t xml:space="preserve"> auth</t>
    </r>
    <r>
      <rPr>
        <sz val="10"/>
        <color rgb="FF000000"/>
        <rFont val="Consolas"/>
        <family val="3"/>
      </rPr>
      <t>.</t>
    </r>
    <r>
      <rPr>
        <sz val="10"/>
        <color rgb="FF444444"/>
        <rFont val="Consolas"/>
        <family val="3"/>
      </rPr>
      <t>users</t>
    </r>
    <r>
      <rPr>
        <sz val="10"/>
        <color rgb="FF000000"/>
        <rFont val="Consolas"/>
        <family val="3"/>
      </rPr>
      <t>(</t>
    </r>
    <r>
      <rPr>
        <sz val="10"/>
        <color rgb="FF444444"/>
        <rFont val="Consolas"/>
        <family val="3"/>
      </rPr>
      <t>id</t>
    </r>
    <r>
      <rPr>
        <sz val="10"/>
        <color rgb="FF000000"/>
        <rFont val="Consolas"/>
        <family val="3"/>
      </rPr>
      <t>)</t>
    </r>
    <r>
      <rPr>
        <sz val="10"/>
        <color rgb="FF444444"/>
        <rFont val="Consolas"/>
        <family val="3"/>
      </rPr>
      <t xml:space="preserve"> </t>
    </r>
    <r>
      <rPr>
        <sz val="10"/>
        <color rgb="FF0000FF"/>
        <rFont val="Consolas"/>
        <family val="3"/>
      </rPr>
      <t>on</t>
    </r>
    <r>
      <rPr>
        <sz val="10"/>
        <color rgb="FF444444"/>
        <rFont val="Consolas"/>
        <family val="3"/>
      </rPr>
      <t xml:space="preserve"> delete cascade</t>
    </r>
    <r>
      <rPr>
        <sz val="10"/>
        <color rgb="FF000000"/>
        <rFont val="Consolas"/>
        <family val="3"/>
      </rPr>
      <t>,</t>
    </r>
  </si>
  <si>
    <r>
      <t xml:space="preserve">  storage_provider varchar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'mentalia_cloud'</t>
    </r>
    <r>
      <rPr>
        <sz val="10"/>
        <color rgb="FF000000"/>
        <rFont val="Consolas"/>
        <family val="3"/>
      </rPr>
      <t>,</t>
    </r>
  </si>
  <si>
    <r>
      <t xml:space="preserve">  fecha_crea timestamp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now</t>
    </r>
    <r>
      <rPr>
        <sz val="10"/>
        <color rgb="FF000000"/>
        <rFont val="Consolas"/>
        <family val="3"/>
      </rPr>
      <t>()</t>
    </r>
  </si>
  <si>
    <t>alter table profesionales_config enable row level security;</t>
  </si>
  <si>
    <t>create policy "profesional select config"</t>
  </si>
  <si>
    <t>on profesionales_config</t>
  </si>
  <si>
    <t>create policy "profesional insert config"</t>
  </si>
  <si>
    <t>create policy "profesional update config"</t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</si>
  <si>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if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exists storage_provider varchar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'mentalia_cloud'</t>
    </r>
    <r>
      <rPr>
        <sz val="10"/>
        <color rgb="FF000000"/>
        <rFont val="Consolas"/>
        <family val="3"/>
      </rPr>
      <t>,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</si>
  <si>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if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exists storage_file_id text</t>
    </r>
    <r>
      <rPr>
        <sz val="10"/>
        <color rgb="FF000000"/>
        <rFont val="Consolas"/>
        <family val="3"/>
      </rPr>
      <t>,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</si>
  <si>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if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exists storage_path text</t>
    </r>
    <r>
      <rPr>
        <sz val="10"/>
        <color rgb="FF000000"/>
        <rFont val="Consolas"/>
        <family val="3"/>
      </rPr>
      <t>,</t>
    </r>
  </si>
  <si>
    <r>
      <t xml:space="preserve">add </t>
    </r>
    <r>
      <rPr>
        <sz val="10"/>
        <color rgb="FF0000FF"/>
        <rFont val="Consolas"/>
        <family val="3"/>
      </rPr>
      <t>column</t>
    </r>
    <r>
      <rPr>
        <sz val="10"/>
        <color rgb="FF444444"/>
        <rFont val="Consolas"/>
        <family val="3"/>
      </rPr>
      <t xml:space="preserve"> if </t>
    </r>
    <r>
      <rPr>
        <sz val="10"/>
        <color rgb="FF778899"/>
        <rFont val="Consolas"/>
        <family val="3"/>
      </rPr>
      <t>not</t>
    </r>
    <r>
      <rPr>
        <sz val="10"/>
        <color rgb="FF444444"/>
        <rFont val="Consolas"/>
        <family val="3"/>
      </rPr>
      <t xml:space="preserve"> exists clinical_data_external boolean </t>
    </r>
    <r>
      <rPr>
        <sz val="10"/>
        <color rgb="FF0000FF"/>
        <rFont val="Consolas"/>
        <family val="3"/>
      </rPr>
      <t>default</t>
    </r>
    <r>
      <rPr>
        <sz val="10"/>
        <color rgb="FF444444"/>
        <rFont val="Consolas"/>
        <family val="3"/>
      </rPr>
      <t xml:space="preserve"> </t>
    </r>
    <r>
      <rPr>
        <sz val="10"/>
        <color rgb="FF0000FF"/>
        <rFont val="Consolas"/>
        <family val="3"/>
      </rPr>
      <t>false</t>
    </r>
    <r>
      <rPr>
        <sz val="10"/>
        <color rgb="FF000000"/>
        <rFont val="Consolas"/>
        <family val="3"/>
      </rPr>
      <t>;</t>
    </r>
  </si>
  <si>
    <t>-- ============================================================</t>
  </si>
  <si>
    <t>-- Propósito:</t>
  </si>
  <si>
    <t>-- y un paciente de Mentalia, sin almacenar contenido clínico.</t>
  </si>
  <si>
    <t>create table if not exists public.agenda_operativa (</t>
  </si>
  <si>
    <t xml:space="preserve">  profesional_id uuid not null,</t>
  </si>
  <si>
    <t xml:space="preserve">  paciente_id uuid not null,</t>
  </si>
  <si>
    <t xml:space="preserve">  google_calendar_event_id text not null,</t>
  </si>
  <si>
    <t xml:space="preserve">  google_calendar_summary text,</t>
  </si>
  <si>
    <t xml:space="preserve">  google_calendar_inicio timestamptz,</t>
  </si>
  <si>
    <t xml:space="preserve">  google_calendar_fin timestamptz,</t>
  </si>
  <si>
    <t xml:space="preserve">  estado_operativo text not null default 'confirmada',</t>
  </si>
  <si>
    <t xml:space="preserve">  consentimiento_ia text not null default 'no_registrado',</t>
  </si>
  <si>
    <t xml:space="preserve">  origen text not null default 'google_calendar',</t>
  </si>
  <si>
    <t xml:space="preserve">  created_at timestamptz not null default now(),</t>
  </si>
  <si>
    <t xml:space="preserve">  updated_at timestamptz not null default now(),</t>
  </si>
  <si>
    <t xml:space="preserve">  constraint agenda_operativa_estado_chk</t>
  </si>
  <si>
    <t xml:space="preserve">    check (</t>
  </si>
  <si>
    <t xml:space="preserve">      estado_operativo in (</t>
  </si>
  <si>
    <t xml:space="preserve">        'pendiente_vinculacion',</t>
  </si>
  <si>
    <t xml:space="preserve">        'confirmada',</t>
  </si>
  <si>
    <t xml:space="preserve">        'reprogramada',</t>
  </si>
  <si>
    <t xml:space="preserve">        'cancelada',</t>
  </si>
  <si>
    <t xml:space="preserve">        'no_presentada',</t>
  </si>
  <si>
    <t xml:space="preserve">        'realizada'</t>
  </si>
  <si>
    <t xml:space="preserve">      )</t>
  </si>
  <si>
    <t xml:space="preserve">    ),</t>
  </si>
  <si>
    <t xml:space="preserve">  constraint agenda_operativa_consentimiento_chk</t>
  </si>
  <si>
    <t xml:space="preserve">      consentimiento_ia in (</t>
  </si>
  <si>
    <t xml:space="preserve">        'no_registrado',</t>
  </si>
  <si>
    <t xml:space="preserve">        'aceptado',</t>
  </si>
  <si>
    <t xml:space="preserve">        'rechazado'</t>
  </si>
  <si>
    <t xml:space="preserve">    )</t>
  </si>
  <si>
    <t>create unique index if not exists agenda_operativa_evento_profesional_idx</t>
  </si>
  <si>
    <t>on public.agenda_operativa (profesional_id, google_calendar_event_id);</t>
  </si>
  <si>
    <t>create index if not exists agenda_operativa_profesional_idx</t>
  </si>
  <si>
    <t>on public.agenda_operativa (profesional_id);</t>
  </si>
  <si>
    <t>create index if not exists agenda_operativa_paciente_idx</t>
  </si>
  <si>
    <t>on public.agenda_operativa (paciente_id);</t>
  </si>
  <si>
    <t>create index if not exists agenda_operativa_fecha_idx</t>
  </si>
  <si>
    <t>on public.agenda_operativa (google_calendar_inicio);</t>
  </si>
  <si>
    <t>-- Se agregan en bloque separado por si las tablas existen con nombres correctos.</t>
  </si>
  <si>
    <t>do $$</t>
  </si>
  <si>
    <t>begin</t>
  </si>
  <si>
    <t xml:space="preserve">  if not exists (</t>
  </si>
  <si>
    <t xml:space="preserve">    select 1</t>
  </si>
  <si>
    <t xml:space="preserve">    from information_schema.table_constraints</t>
  </si>
  <si>
    <t xml:space="preserve">    where constraint_name = 'agenda_operativa_paciente_fk'</t>
  </si>
  <si>
    <t xml:space="preserve">  ) then</t>
  </si>
  <si>
    <t xml:space="preserve">    alter table public.agenda_operativa</t>
  </si>
  <si>
    <t xml:space="preserve">    add constraint agenda_operativa_paciente_fk</t>
  </si>
  <si>
    <t xml:space="preserve">    foreign key (paciente_id)</t>
  </si>
  <si>
    <t xml:space="preserve">    references public.pacientes(id)</t>
  </si>
  <si>
    <t xml:space="preserve">    on delete restrict;</t>
  </si>
  <si>
    <t xml:space="preserve">  end if;</t>
  </si>
  <si>
    <t>end $$;</t>
  </si>
  <si>
    <t>create or replace function public.set_updated_at()</t>
  </si>
  <si>
    <t>returns trigger</t>
  </si>
  <si>
    <t>language plpgsql</t>
  </si>
  <si>
    <t>as $$</t>
  </si>
  <si>
    <t xml:space="preserve">  new.updated_at = now();</t>
  </si>
  <si>
    <t xml:space="preserve">  return new;</t>
  </si>
  <si>
    <t>end;</t>
  </si>
  <si>
    <t>$$;</t>
  </si>
  <si>
    <t>drop trigger if exists trg_agenda_operativa_updated_at on public.agenda_operativa;</t>
  </si>
  <si>
    <t>create trigger trg_agenda_operativa_updated_at</t>
  </si>
  <si>
    <t>before update on public.agenda_operativa</t>
  </si>
  <si>
    <t>for each row</t>
  </si>
  <si>
    <t>execute function public.set_updated_at();</t>
  </si>
  <si>
    <t>alter table public.agenda_operativa enable row level security;</t>
  </si>
  <si>
    <t>-- Regla principal:</t>
  </si>
  <si>
    <t>drop policy if exists "agenda_operativa_select_own" on public.agenda_operativa;</t>
  </si>
  <si>
    <t>drop policy if exists "agenda_operativa_insert_own" on public.agenda_operativa;</t>
  </si>
  <si>
    <t>drop policy if exists "agenda_operativa_update_own" on public.agenda_operativa;</t>
  </si>
  <si>
    <t>drop policy if exists "agenda_operativa_delete_own" on public.agenda_operativa;</t>
  </si>
  <si>
    <t>create policy "agenda_operativa_select_own"</t>
  </si>
  <si>
    <t>on public.agenda_operativa</t>
  </si>
  <si>
    <t>to authenticated</t>
  </si>
  <si>
    <t>using (</t>
  </si>
  <si>
    <t xml:space="preserve">  profesional_id = auth.uid()</t>
  </si>
  <si>
    <t>create policy "agenda_operativa_insert_own"</t>
  </si>
  <si>
    <t>with check (</t>
  </si>
  <si>
    <t>create policy "agenda_operativa_update_own"</t>
  </si>
  <si>
    <t>)</t>
  </si>
  <si>
    <t>create policy "agenda_operativa_delete_own"</t>
  </si>
  <si>
    <t>comment on table public.agenda_operativa is</t>
  </si>
  <si>
    <t>'Capa operativa que vincula eventos de Google Calendar con pacientes de Mentalia. No almacena contenido clínico.';</t>
  </si>
  <si>
    <t>comment on column public.agenda_operativa.google_calendar_event_id is</t>
  </si>
  <si>
    <t>'ID del evento en Google Calendar usado como referencia externa.';</t>
  </si>
  <si>
    <t>comment on column public.agenda_operativa.estado_operativo is</t>
  </si>
  <si>
    <t>'Estado administrativo-operativo de la atención: confirmada, reprogramada, cancelada, no presentada o realizada.';</t>
  </si>
  <si>
    <t>comment on column public.agenda_operativa.consentimiento_ia is</t>
  </si>
  <si>
    <t>'Estado explícito del consentimiento para uso de IA. No debe inferirse automáticamente.';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</si>
</sst>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444444"/>
      <name val="Consolas"/>
      <family val="3"/>
    </font>
    <font>
      <sz val="7"/>
      <color rgb="FF0000FF"/>
      <name val="Consolas"/>
      <family val="3"/>
    </font>
    <font>
      <b/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7"/>
      <color rgb="FF778899"/>
      <name val="Consolas"/>
      <family val="3"/>
    </font>
    <font>
      <sz val="7"/>
      <color rgb="FF098658"/>
      <name val="Consolas"/>
      <family val="3"/>
    </font>
    <font>
      <sz val="7"/>
      <color rgb="FF24B47E"/>
      <name val="Consolas"/>
      <family val="3"/>
    </font>
    <font>
      <sz val="11"/>
      <color rgb="FF44444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03036"/>
      <name val="Calibri"/>
      <family val="2"/>
      <scheme val="minor"/>
    </font>
    <font>
      <sz val="7"/>
      <color rgb="FF444746"/>
      <name val="Arial"/>
      <family val="2"/>
    </font>
    <font>
      <sz val="10"/>
      <color rgb="FF444444"/>
      <name val="Consolas"/>
      <family val="3"/>
    </font>
    <font>
      <sz val="10"/>
      <color rgb="FF0000FF"/>
      <name val="Consolas"/>
      <family val="3"/>
    </font>
    <font>
      <sz val="10"/>
      <color rgb="FF000000"/>
      <name val="Consolas"/>
      <family val="3"/>
    </font>
    <font>
      <u/>
      <sz val="11"/>
      <color theme="1"/>
      <name val="Calibri"/>
      <family val="2"/>
      <scheme val="minor"/>
    </font>
    <font>
      <sz val="10"/>
      <color rgb="FF24B47E"/>
      <name val="Consolas"/>
      <family val="3"/>
    </font>
    <font>
      <u/>
      <sz val="10"/>
      <color rgb="FF444444"/>
      <name val="Consolas"/>
      <family val="3"/>
    </font>
    <font>
      <u/>
      <sz val="10"/>
      <color rgb="FF0000FF"/>
      <name val="Consolas"/>
      <family val="3"/>
    </font>
    <font>
      <u/>
      <sz val="10"/>
      <color rgb="FF24B47E"/>
      <name val="Consolas"/>
      <family val="3"/>
    </font>
    <font>
      <u/>
      <sz val="10"/>
      <color rgb="FF000000"/>
      <name val="Consolas"/>
      <family val="3"/>
    </font>
    <font>
      <sz val="10"/>
      <color rgb="FF77889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0" fillId="0" borderId="0" xfId="0" quotePrefix="1"/>
    <xf numFmtId="0" fontId="9" fillId="0" borderId="0" xfId="0" applyFont="1" applyAlignment="1">
      <alignment vertical="center"/>
    </xf>
    <xf numFmtId="0" fontId="10" fillId="0" borderId="0" xfId="1"/>
    <xf numFmtId="0" fontId="11" fillId="0" borderId="0" xfId="0" applyFont="1" applyAlignment="1">
      <alignment horizontal="right" vertical="center" wrapText="1"/>
    </xf>
    <xf numFmtId="0" fontId="0" fillId="0" borderId="0" xfId="0" applyAlignment="1">
      <alignment vertical="top"/>
    </xf>
    <xf numFmtId="0" fontId="10" fillId="0" borderId="0" xfId="1" applyAlignment="1">
      <alignment vertical="top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14" fontId="0" fillId="0" borderId="0" xfId="0" applyNumberFormat="1"/>
    <xf numFmtId="0" fontId="12" fillId="0" borderId="0" xfId="0" applyFont="1"/>
    <xf numFmtId="0" fontId="13" fillId="0" borderId="0" xfId="0" applyFont="1" applyAlignment="1">
      <alignment vertical="center"/>
    </xf>
    <xf numFmtId="0" fontId="16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escobark@hotmail.com" TargetMode="External"/><Relationship Id="rId13" Type="http://schemas.openxmlformats.org/officeDocument/2006/relationships/hyperlink" Target="mailto:mentalia201@gmail.com" TargetMode="External"/><Relationship Id="rId3" Type="http://schemas.openxmlformats.org/officeDocument/2006/relationships/hyperlink" Target="mailto:rodolfo.escobar@gmail.com" TargetMode="External"/><Relationship Id="rId7" Type="http://schemas.openxmlformats.org/officeDocument/2006/relationships/hyperlink" Target="mailto:rodolfo.escobar@gmail.com" TargetMode="External"/><Relationship Id="rId12" Type="http://schemas.openxmlformats.org/officeDocument/2006/relationships/hyperlink" Target="mailto:mentalia200@gmail.com" TargetMode="External"/><Relationship Id="rId2" Type="http://schemas.openxmlformats.org/officeDocument/2006/relationships/hyperlink" Target="mailto:rescobark@hotmail.com" TargetMode="External"/><Relationship Id="rId1" Type="http://schemas.openxmlformats.org/officeDocument/2006/relationships/hyperlink" Target="mailto:mentalia200@gmail.com" TargetMode="External"/><Relationship Id="rId6" Type="http://schemas.openxmlformats.org/officeDocument/2006/relationships/hyperlink" Target="mailto:rescobark@hotmail.com" TargetMode="External"/><Relationship Id="rId11" Type="http://schemas.openxmlformats.org/officeDocument/2006/relationships/hyperlink" Target="mailto:rodolfo.escobar@gmail.com" TargetMode="External"/><Relationship Id="rId5" Type="http://schemas.openxmlformats.org/officeDocument/2006/relationships/hyperlink" Target="mailto:rodolfo.escobar@gmail.com" TargetMode="External"/><Relationship Id="rId10" Type="http://schemas.openxmlformats.org/officeDocument/2006/relationships/hyperlink" Target="mailto:rescobark@hotmail.com" TargetMode="External"/><Relationship Id="rId4" Type="http://schemas.openxmlformats.org/officeDocument/2006/relationships/hyperlink" Target="mailto:rescobark@hotmail.com" TargetMode="External"/><Relationship Id="rId9" Type="http://schemas.openxmlformats.org/officeDocument/2006/relationships/hyperlink" Target="mailto:rodolfo.escob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4"/>
  <sheetViews>
    <sheetView topLeftCell="E26" workbookViewId="0">
      <selection activeCell="J43" sqref="J43:J44"/>
    </sheetView>
  </sheetViews>
  <sheetFormatPr baseColWidth="10" defaultColWidth="8.7109375" defaultRowHeight="15" x14ac:dyDescent="0.25"/>
  <cols>
    <col min="3" max="3" width="22.28515625" customWidth="1"/>
    <col min="4" max="4" width="15.42578125" customWidth="1"/>
    <col min="5" max="5" width="17.85546875" bestFit="1" customWidth="1"/>
    <col min="6" max="6" width="20.85546875" customWidth="1"/>
    <col min="7" max="7" width="56.140625" bestFit="1" customWidth="1"/>
    <col min="10" max="10" width="11.28515625" bestFit="1" customWidth="1"/>
    <col min="11" max="11" width="16.28515625" customWidth="1"/>
    <col min="12" max="12" width="9.28515625" bestFit="1" customWidth="1"/>
    <col min="13" max="13" width="18.140625" customWidth="1"/>
  </cols>
  <sheetData>
    <row r="2" spans="2:14" x14ac:dyDescent="0.25">
      <c r="B2" t="s">
        <v>36</v>
      </c>
      <c r="C2" t="s">
        <v>41</v>
      </c>
      <c r="J2" s="10" t="s">
        <v>101</v>
      </c>
    </row>
    <row r="3" spans="2:14" x14ac:dyDescent="0.25">
      <c r="B3" s="2" t="s">
        <v>0</v>
      </c>
      <c r="C3" s="3" t="s">
        <v>2</v>
      </c>
      <c r="D3" s="2" t="s">
        <v>3</v>
      </c>
      <c r="E3" s="2"/>
      <c r="F3" s="3" t="s">
        <v>5</v>
      </c>
      <c r="G3" s="2" t="s">
        <v>16</v>
      </c>
      <c r="H3" s="1"/>
      <c r="J3" t="s">
        <v>35</v>
      </c>
      <c r="K3" t="str">
        <f>C2</f>
        <v>profesional</v>
      </c>
      <c r="L3" t="s">
        <v>37</v>
      </c>
    </row>
    <row r="4" spans="2:14" x14ac:dyDescent="0.25">
      <c r="B4" s="1">
        <v>1</v>
      </c>
      <c r="C4" s="1" t="s">
        <v>1</v>
      </c>
      <c r="D4" s="1" t="s">
        <v>4</v>
      </c>
      <c r="E4" s="1" t="s">
        <v>34</v>
      </c>
      <c r="F4" s="4" t="s">
        <v>42</v>
      </c>
      <c r="G4" s="1" t="s">
        <v>17</v>
      </c>
      <c r="H4" s="1"/>
      <c r="J4" t="str">
        <f>C4</f>
        <v>id</v>
      </c>
      <c r="K4" t="str">
        <f>D4</f>
        <v>uuid</v>
      </c>
      <c r="L4" t="str">
        <f>E4</f>
        <v>NOT NULL</v>
      </c>
      <c r="M4" t="str">
        <f>F4</f>
        <v>PRIMARY KEY references auth.users(id) on delete cascade</v>
      </c>
      <c r="N4" t="s">
        <v>39</v>
      </c>
    </row>
    <row r="5" spans="2:14" x14ac:dyDescent="0.25">
      <c r="B5" s="1">
        <v>2</v>
      </c>
      <c r="C5" s="1" t="s">
        <v>6</v>
      </c>
      <c r="D5" s="1" t="s">
        <v>7</v>
      </c>
      <c r="E5" s="1" t="s">
        <v>34</v>
      </c>
      <c r="F5" s="4" t="s">
        <v>38</v>
      </c>
      <c r="G5" s="1" t="s">
        <v>18</v>
      </c>
      <c r="H5" s="1"/>
      <c r="J5" t="str">
        <f t="shared" ref="J5:J14" si="0">C5</f>
        <v>email</v>
      </c>
      <c r="K5" t="str">
        <f t="shared" ref="K5:K14" si="1">D5</f>
        <v>varchar</v>
      </c>
      <c r="L5" t="str">
        <f t="shared" ref="L5:L12" si="2">E5</f>
        <v>NOT NULL</v>
      </c>
      <c r="M5" t="str">
        <f>F5</f>
        <v>UNIQUE</v>
      </c>
      <c r="N5" t="s">
        <v>39</v>
      </c>
    </row>
    <row r="6" spans="2:14" x14ac:dyDescent="0.25">
      <c r="B6" s="1">
        <v>3</v>
      </c>
      <c r="C6" s="1" t="s">
        <v>8</v>
      </c>
      <c r="D6" s="1" t="s">
        <v>9</v>
      </c>
      <c r="E6" t="s">
        <v>43</v>
      </c>
      <c r="F6" s="1"/>
      <c r="G6" s="1" t="s">
        <v>19</v>
      </c>
      <c r="H6" s="1"/>
      <c r="J6" t="str">
        <f t="shared" si="0"/>
        <v>fecha_crea</v>
      </c>
      <c r="K6" t="str">
        <f t="shared" si="1"/>
        <v>timestamp</v>
      </c>
      <c r="L6" t="str">
        <f t="shared" si="2"/>
        <v>default now()</v>
      </c>
      <c r="N6" t="s">
        <v>39</v>
      </c>
    </row>
    <row r="7" spans="2:14" x14ac:dyDescent="0.25">
      <c r="B7" s="1">
        <v>4</v>
      </c>
      <c r="C7" s="1" t="s">
        <v>10</v>
      </c>
      <c r="D7" s="1" t="s">
        <v>7</v>
      </c>
      <c r="E7" s="1"/>
      <c r="F7" s="1"/>
      <c r="G7" s="1" t="s">
        <v>21</v>
      </c>
      <c r="H7" s="1"/>
      <c r="J7" t="str">
        <f t="shared" si="0"/>
        <v>nombres</v>
      </c>
      <c r="K7" t="str">
        <f t="shared" si="1"/>
        <v>varchar</v>
      </c>
      <c r="N7" t="s">
        <v>39</v>
      </c>
    </row>
    <row r="8" spans="2:14" x14ac:dyDescent="0.25">
      <c r="B8" s="1">
        <v>5</v>
      </c>
      <c r="C8" s="1" t="s">
        <v>11</v>
      </c>
      <c r="D8" s="1" t="s">
        <v>7</v>
      </c>
      <c r="E8" s="1"/>
      <c r="F8" s="1"/>
      <c r="G8" s="1" t="s">
        <v>20</v>
      </c>
      <c r="H8" s="1"/>
      <c r="J8" t="str">
        <f t="shared" si="0"/>
        <v>apellidos</v>
      </c>
      <c r="K8" t="str">
        <f t="shared" si="1"/>
        <v>varchar</v>
      </c>
      <c r="N8" t="s">
        <v>39</v>
      </c>
    </row>
    <row r="9" spans="2:14" x14ac:dyDescent="0.25">
      <c r="B9" s="1">
        <v>6</v>
      </c>
      <c r="C9" s="1" t="s">
        <v>12</v>
      </c>
      <c r="D9" s="1" t="s">
        <v>7</v>
      </c>
      <c r="E9" s="1"/>
      <c r="F9" s="1"/>
      <c r="G9" s="1" t="s">
        <v>22</v>
      </c>
      <c r="H9" s="1"/>
      <c r="J9" t="str">
        <f t="shared" si="0"/>
        <v>identificador</v>
      </c>
      <c r="K9" t="str">
        <f t="shared" si="1"/>
        <v>varchar</v>
      </c>
      <c r="N9" t="s">
        <v>39</v>
      </c>
    </row>
    <row r="10" spans="2:14" x14ac:dyDescent="0.25">
      <c r="B10" s="1">
        <v>7</v>
      </c>
      <c r="C10" s="1" t="s">
        <v>13</v>
      </c>
      <c r="D10" s="1" t="s">
        <v>7</v>
      </c>
      <c r="E10" s="1"/>
      <c r="F10" s="1"/>
      <c r="G10" s="1" t="s">
        <v>24</v>
      </c>
      <c r="H10" s="1"/>
      <c r="J10" t="str">
        <f t="shared" si="0"/>
        <v>genero</v>
      </c>
      <c r="K10" t="str">
        <f t="shared" si="1"/>
        <v>varchar</v>
      </c>
      <c r="N10" t="s">
        <v>39</v>
      </c>
    </row>
    <row r="11" spans="2:14" x14ac:dyDescent="0.25">
      <c r="B11" s="1">
        <v>8</v>
      </c>
      <c r="C11" s="1" t="s">
        <v>14</v>
      </c>
      <c r="D11" s="1" t="s">
        <v>7</v>
      </c>
      <c r="E11" s="1"/>
      <c r="F11" s="1"/>
      <c r="G11" s="1" t="s">
        <v>25</v>
      </c>
      <c r="H11" s="1"/>
      <c r="J11" t="str">
        <f t="shared" si="0"/>
        <v>profesion</v>
      </c>
      <c r="K11" t="str">
        <f t="shared" si="1"/>
        <v>varchar</v>
      </c>
      <c r="N11" t="s">
        <v>39</v>
      </c>
    </row>
    <row r="12" spans="2:14" x14ac:dyDescent="0.25">
      <c r="B12" s="1">
        <v>9</v>
      </c>
      <c r="C12" s="1" t="s">
        <v>15</v>
      </c>
      <c r="D12" t="s">
        <v>44</v>
      </c>
      <c r="E12" s="1" t="s">
        <v>45</v>
      </c>
      <c r="F12" s="1"/>
      <c r="G12" s="1" t="s">
        <v>26</v>
      </c>
      <c r="H12" s="1"/>
      <c r="J12" t="str">
        <f t="shared" si="0"/>
        <v>vigente</v>
      </c>
      <c r="K12" t="str">
        <f t="shared" si="1"/>
        <v>boolean</v>
      </c>
      <c r="L12" t="str">
        <f t="shared" si="2"/>
        <v>default true</v>
      </c>
      <c r="N12" t="s">
        <v>39</v>
      </c>
    </row>
    <row r="13" spans="2:14" x14ac:dyDescent="0.25">
      <c r="B13" s="1">
        <v>10</v>
      </c>
      <c r="C13" s="1" t="s">
        <v>23</v>
      </c>
      <c r="D13" s="1" t="s">
        <v>7</v>
      </c>
      <c r="E13" s="1"/>
      <c r="F13" s="1"/>
      <c r="G13" s="1" t="s">
        <v>27</v>
      </c>
      <c r="H13" s="1"/>
      <c r="J13" t="str">
        <f t="shared" si="0"/>
        <v>pais</v>
      </c>
      <c r="K13" t="str">
        <f t="shared" si="1"/>
        <v>varchar</v>
      </c>
      <c r="N13" t="s">
        <v>39</v>
      </c>
    </row>
    <row r="14" spans="2:14" x14ac:dyDescent="0.25">
      <c r="B14" s="1">
        <v>11</v>
      </c>
      <c r="C14" s="1" t="s">
        <v>32</v>
      </c>
      <c r="D14" s="1" t="s">
        <v>7</v>
      </c>
      <c r="E14" s="1"/>
      <c r="F14" s="1"/>
      <c r="G14" s="1" t="s">
        <v>33</v>
      </c>
      <c r="H14" s="1"/>
      <c r="J14" t="str">
        <f t="shared" si="0"/>
        <v>telefono</v>
      </c>
      <c r="K14" t="str">
        <f t="shared" si="1"/>
        <v>varchar</v>
      </c>
    </row>
    <row r="15" spans="2:14" x14ac:dyDescent="0.25">
      <c r="J15" t="s">
        <v>40</v>
      </c>
    </row>
    <row r="17" spans="3:10" x14ac:dyDescent="0.25">
      <c r="J17" t="s">
        <v>63</v>
      </c>
    </row>
    <row r="18" spans="3:10" x14ac:dyDescent="0.25">
      <c r="C18" t="s">
        <v>57</v>
      </c>
      <c r="J18" s="5" t="s">
        <v>46</v>
      </c>
    </row>
    <row r="19" spans="3:10" x14ac:dyDescent="0.25">
      <c r="C19" s="7" t="s">
        <v>59</v>
      </c>
      <c r="D19" s="7" t="s">
        <v>60</v>
      </c>
      <c r="E19" s="7" t="s">
        <v>61</v>
      </c>
      <c r="J19" s="6"/>
    </row>
    <row r="20" spans="3:10" x14ac:dyDescent="0.25">
      <c r="C20" s="1" t="s">
        <v>10</v>
      </c>
      <c r="D20" s="1" t="s">
        <v>7</v>
      </c>
      <c r="E20" s="1" t="s">
        <v>58</v>
      </c>
      <c r="J20" s="4" t="s">
        <v>47</v>
      </c>
    </row>
    <row r="21" spans="3:10" x14ac:dyDescent="0.25">
      <c r="C21" s="1" t="s">
        <v>11</v>
      </c>
      <c r="D21" s="1" t="s">
        <v>7</v>
      </c>
      <c r="E21" s="1" t="s">
        <v>58</v>
      </c>
      <c r="J21" s="4" t="s">
        <v>48</v>
      </c>
    </row>
    <row r="22" spans="3:10" x14ac:dyDescent="0.25">
      <c r="C22" s="1" t="s">
        <v>12</v>
      </c>
      <c r="D22" s="1" t="s">
        <v>7</v>
      </c>
      <c r="E22" s="1" t="s">
        <v>62</v>
      </c>
      <c r="J22" s="4" t="s">
        <v>49</v>
      </c>
    </row>
    <row r="23" spans="3:10" x14ac:dyDescent="0.25">
      <c r="C23" s="1" t="s">
        <v>13</v>
      </c>
      <c r="D23" s="1" t="s">
        <v>7</v>
      </c>
      <c r="E23" s="1" t="s">
        <v>62</v>
      </c>
      <c r="J23" s="4" t="s">
        <v>50</v>
      </c>
    </row>
    <row r="24" spans="3:10" x14ac:dyDescent="0.25">
      <c r="C24" s="1" t="s">
        <v>14</v>
      </c>
      <c r="D24" s="1" t="s">
        <v>7</v>
      </c>
      <c r="E24" s="1" t="s">
        <v>62</v>
      </c>
      <c r="J24" s="6"/>
    </row>
    <row r="25" spans="3:10" x14ac:dyDescent="0.25">
      <c r="C25" s="1" t="s">
        <v>23</v>
      </c>
      <c r="D25" s="1" t="s">
        <v>7</v>
      </c>
      <c r="E25" s="1" t="s">
        <v>62</v>
      </c>
      <c r="J25" s="4" t="s">
        <v>51</v>
      </c>
    </row>
    <row r="26" spans="3:10" x14ac:dyDescent="0.25">
      <c r="C26" s="1" t="s">
        <v>32</v>
      </c>
      <c r="D26" s="1" t="s">
        <v>7</v>
      </c>
      <c r="E26" s="1" t="s">
        <v>62</v>
      </c>
      <c r="J26" s="4" t="s">
        <v>48</v>
      </c>
    </row>
    <row r="27" spans="3:10" x14ac:dyDescent="0.25">
      <c r="J27" s="4" t="s">
        <v>52</v>
      </c>
    </row>
    <row r="28" spans="3:10" x14ac:dyDescent="0.25">
      <c r="J28" s="4" t="s">
        <v>53</v>
      </c>
    </row>
    <row r="29" spans="3:10" x14ac:dyDescent="0.25">
      <c r="J29" s="6"/>
    </row>
    <row r="30" spans="3:10" x14ac:dyDescent="0.25">
      <c r="J30" s="4" t="s">
        <v>54</v>
      </c>
    </row>
    <row r="31" spans="3:10" x14ac:dyDescent="0.25">
      <c r="J31" s="4" t="s">
        <v>48</v>
      </c>
    </row>
    <row r="32" spans="3:10" x14ac:dyDescent="0.25">
      <c r="J32" s="4" t="s">
        <v>55</v>
      </c>
    </row>
    <row r="33" spans="10:10" x14ac:dyDescent="0.25">
      <c r="J33" s="4" t="s">
        <v>56</v>
      </c>
    </row>
    <row r="34" spans="10:10" x14ac:dyDescent="0.25">
      <c r="J34" s="4" t="s">
        <v>50</v>
      </c>
    </row>
    <row r="36" spans="10:10" x14ac:dyDescent="0.25">
      <c r="J36" s="4" t="s">
        <v>69</v>
      </c>
    </row>
    <row r="37" spans="10:10" x14ac:dyDescent="0.25">
      <c r="J37" s="5" t="s">
        <v>64</v>
      </c>
    </row>
    <row r="38" spans="10:10" x14ac:dyDescent="0.25">
      <c r="J38" s="5" t="s">
        <v>65</v>
      </c>
    </row>
    <row r="39" spans="10:10" x14ac:dyDescent="0.25">
      <c r="J39" s="4" t="s">
        <v>66</v>
      </c>
    </row>
    <row r="40" spans="10:10" x14ac:dyDescent="0.25">
      <c r="J40" s="4" t="s">
        <v>67</v>
      </c>
    </row>
    <row r="41" spans="10:10" x14ac:dyDescent="0.25">
      <c r="J41" s="4" t="s">
        <v>68</v>
      </c>
    </row>
    <row r="43" spans="10:10" x14ac:dyDescent="0.25">
      <c r="J43" s="22" t="s">
        <v>270</v>
      </c>
    </row>
    <row r="44" spans="10:10" x14ac:dyDescent="0.25">
      <c r="J44" s="22" t="s">
        <v>271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20C6-A53F-4B84-91F4-BEDBBF97B693}">
  <dimension ref="C4:K43"/>
  <sheetViews>
    <sheetView workbookViewId="0">
      <selection activeCell="C4" sqref="C4:H4"/>
    </sheetView>
  </sheetViews>
  <sheetFormatPr baseColWidth="10" defaultRowHeight="15" x14ac:dyDescent="0.25"/>
  <cols>
    <col min="4" max="4" width="20.42578125" customWidth="1"/>
    <col min="7" max="7" width="28.5703125" customWidth="1"/>
    <col min="8" max="8" width="34.140625" customWidth="1"/>
  </cols>
  <sheetData>
    <row r="4" spans="3:11" x14ac:dyDescent="0.25">
      <c r="C4" s="2" t="s">
        <v>0</v>
      </c>
      <c r="D4" s="3" t="s">
        <v>2</v>
      </c>
      <c r="E4" s="2" t="s">
        <v>3</v>
      </c>
      <c r="F4" s="2"/>
      <c r="G4" s="3" t="s">
        <v>5</v>
      </c>
      <c r="H4" s="2" t="s">
        <v>16</v>
      </c>
      <c r="I4" s="1"/>
    </row>
    <row r="5" spans="3:11" x14ac:dyDescent="0.25">
      <c r="C5" s="1">
        <v>1</v>
      </c>
      <c r="D5" s="1" t="s">
        <v>84</v>
      </c>
      <c r="E5" s="1" t="s">
        <v>4</v>
      </c>
      <c r="F5" s="1"/>
      <c r="G5" s="1" t="s">
        <v>85</v>
      </c>
      <c r="H5" s="1" t="s">
        <v>89</v>
      </c>
      <c r="I5" s="1"/>
      <c r="K5" s="9" t="s">
        <v>100</v>
      </c>
    </row>
    <row r="6" spans="3:11" x14ac:dyDescent="0.25">
      <c r="C6" s="1"/>
      <c r="D6" s="1" t="s">
        <v>91</v>
      </c>
      <c r="E6" s="1" t="s">
        <v>86</v>
      </c>
      <c r="F6" s="1" t="s">
        <v>87</v>
      </c>
      <c r="G6" s="1" t="s">
        <v>88</v>
      </c>
      <c r="H6" s="1" t="s">
        <v>90</v>
      </c>
      <c r="I6" s="1"/>
      <c r="K6" s="4" t="s">
        <v>70</v>
      </c>
    </row>
    <row r="7" spans="3:11" x14ac:dyDescent="0.25">
      <c r="C7" s="1"/>
      <c r="D7" s="1" t="s">
        <v>10</v>
      </c>
      <c r="E7" s="1" t="s">
        <v>7</v>
      </c>
      <c r="F7" s="1"/>
      <c r="G7" s="1"/>
      <c r="H7" s="1" t="s">
        <v>92</v>
      </c>
      <c r="I7" s="1"/>
      <c r="K7" s="5" t="s">
        <v>71</v>
      </c>
    </row>
    <row r="8" spans="3:11" x14ac:dyDescent="0.25">
      <c r="C8" s="1"/>
      <c r="D8" s="1" t="s">
        <v>11</v>
      </c>
      <c r="E8" s="1" t="s">
        <v>7</v>
      </c>
      <c r="F8" s="1"/>
      <c r="G8" s="1"/>
      <c r="H8" s="1" t="s">
        <v>93</v>
      </c>
      <c r="I8" s="1"/>
      <c r="K8" s="6"/>
    </row>
    <row r="9" spans="3:11" x14ac:dyDescent="0.25">
      <c r="C9" s="1"/>
      <c r="D9" s="1" t="s">
        <v>12</v>
      </c>
      <c r="E9" s="1" t="s">
        <v>7</v>
      </c>
      <c r="F9" s="1"/>
      <c r="G9" s="1"/>
      <c r="H9" s="1" t="s">
        <v>22</v>
      </c>
      <c r="I9" s="1"/>
      <c r="K9" s="5" t="s">
        <v>72</v>
      </c>
    </row>
    <row r="10" spans="3:11" x14ac:dyDescent="0.25">
      <c r="C10" s="1"/>
      <c r="D10" s="1" t="s">
        <v>13</v>
      </c>
      <c r="E10" s="1" t="s">
        <v>7</v>
      </c>
      <c r="F10" s="1"/>
      <c r="G10" s="1"/>
      <c r="H10" s="1" t="s">
        <v>24</v>
      </c>
      <c r="I10" s="1"/>
      <c r="K10" s="5" t="s">
        <v>73</v>
      </c>
    </row>
    <row r="11" spans="3:11" x14ac:dyDescent="0.25">
      <c r="C11" s="1"/>
      <c r="D11" s="1" t="s">
        <v>6</v>
      </c>
      <c r="E11" s="1" t="s">
        <v>7</v>
      </c>
      <c r="F11" s="1"/>
      <c r="G11" s="1"/>
      <c r="H11" s="1" t="s">
        <v>125</v>
      </c>
      <c r="I11" s="1"/>
      <c r="K11" s="6"/>
    </row>
    <row r="12" spans="3:11" x14ac:dyDescent="0.25">
      <c r="C12" s="1"/>
      <c r="D12" s="1" t="s">
        <v>32</v>
      </c>
      <c r="E12" s="1" t="s">
        <v>7</v>
      </c>
      <c r="F12" s="1"/>
      <c r="G12" s="1"/>
      <c r="H12" s="1" t="s">
        <v>126</v>
      </c>
      <c r="I12" s="1"/>
      <c r="K12" s="5" t="s">
        <v>74</v>
      </c>
    </row>
    <row r="13" spans="3:11" x14ac:dyDescent="0.25">
      <c r="C13" s="1"/>
      <c r="D13" s="1" t="s">
        <v>94</v>
      </c>
      <c r="E13" s="1" t="s">
        <v>9</v>
      </c>
      <c r="F13" s="1"/>
      <c r="G13" s="1"/>
      <c r="H13" s="1" t="s">
        <v>128</v>
      </c>
      <c r="I13" s="1"/>
      <c r="K13" s="5" t="s">
        <v>75</v>
      </c>
    </row>
    <row r="14" spans="3:11" x14ac:dyDescent="0.25">
      <c r="C14" s="1"/>
      <c r="D14" s="1" t="s">
        <v>13</v>
      </c>
      <c r="E14" s="1" t="s">
        <v>7</v>
      </c>
      <c r="F14" s="1"/>
      <c r="G14" s="1"/>
      <c r="H14" s="1" t="s">
        <v>127</v>
      </c>
      <c r="I14" s="1"/>
      <c r="K14" s="5" t="s">
        <v>76</v>
      </c>
    </row>
    <row r="15" spans="3:11" x14ac:dyDescent="0.25">
      <c r="C15" s="1"/>
      <c r="D15" s="1" t="s">
        <v>95</v>
      </c>
      <c r="E15" s="1" t="s">
        <v>7</v>
      </c>
      <c r="F15" s="1"/>
      <c r="G15" s="1"/>
      <c r="H15" s="1" t="s">
        <v>129</v>
      </c>
      <c r="I15" s="1"/>
      <c r="K15" s="5" t="s">
        <v>77</v>
      </c>
    </row>
    <row r="16" spans="3:11" x14ac:dyDescent="0.25">
      <c r="C16" s="1"/>
      <c r="D16" s="1" t="s">
        <v>96</v>
      </c>
      <c r="E16" s="1" t="s">
        <v>7</v>
      </c>
      <c r="F16" s="1"/>
      <c r="G16" s="1"/>
      <c r="H16" s="1" t="s">
        <v>130</v>
      </c>
      <c r="I16" s="1"/>
      <c r="K16" s="5" t="s">
        <v>78</v>
      </c>
    </row>
    <row r="17" spans="3:11" x14ac:dyDescent="0.25">
      <c r="C17" s="1"/>
      <c r="D17" s="1" t="s">
        <v>97</v>
      </c>
      <c r="E17" s="1" t="s">
        <v>9</v>
      </c>
      <c r="F17" s="1" t="s">
        <v>43</v>
      </c>
      <c r="G17" s="1"/>
      <c r="H17" s="1" t="s">
        <v>131</v>
      </c>
      <c r="I17" s="1"/>
      <c r="K17" s="5" t="s">
        <v>79</v>
      </c>
    </row>
    <row r="18" spans="3:11" x14ac:dyDescent="0.25">
      <c r="C18" s="1"/>
      <c r="D18" s="1" t="s">
        <v>98</v>
      </c>
      <c r="E18" s="1" t="s">
        <v>44</v>
      </c>
      <c r="F18" s="1" t="s">
        <v>45</v>
      </c>
      <c r="G18" s="1"/>
      <c r="H18" s="1" t="s">
        <v>132</v>
      </c>
      <c r="I18" s="1"/>
      <c r="K18" s="5" t="s">
        <v>99</v>
      </c>
    </row>
    <row r="19" spans="3:11" x14ac:dyDescent="0.25">
      <c r="C19" s="1"/>
      <c r="D19" s="1"/>
      <c r="E19" s="1"/>
      <c r="F19" s="1"/>
      <c r="G19" s="1"/>
      <c r="H19" s="1"/>
      <c r="I19" s="1"/>
      <c r="K19" s="5" t="s">
        <v>80</v>
      </c>
    </row>
    <row r="20" spans="3:11" x14ac:dyDescent="0.25">
      <c r="C20" s="1"/>
      <c r="D20" s="1"/>
      <c r="E20" s="1"/>
      <c r="F20" s="1"/>
      <c r="G20" s="1"/>
      <c r="H20" s="1"/>
      <c r="I20" s="1"/>
      <c r="K20" s="5" t="s">
        <v>81</v>
      </c>
    </row>
    <row r="21" spans="3:11" x14ac:dyDescent="0.25">
      <c r="C21" s="1"/>
      <c r="D21" s="1"/>
      <c r="E21" s="1"/>
      <c r="F21" s="1"/>
      <c r="G21" s="1"/>
      <c r="H21" s="1"/>
      <c r="I21" s="1"/>
      <c r="K21" s="6"/>
    </row>
    <row r="22" spans="3:11" x14ac:dyDescent="0.25">
      <c r="C22" s="1"/>
      <c r="D22" s="1"/>
      <c r="E22" s="1"/>
      <c r="F22" s="1"/>
      <c r="G22" s="1"/>
      <c r="H22" s="1"/>
      <c r="I22" s="1"/>
      <c r="K22" s="5" t="s">
        <v>82</v>
      </c>
    </row>
    <row r="23" spans="3:11" x14ac:dyDescent="0.25">
      <c r="K23" s="5" t="s">
        <v>83</v>
      </c>
    </row>
    <row r="24" spans="3:11" x14ac:dyDescent="0.25">
      <c r="K24" s="8" t="s">
        <v>40</v>
      </c>
    </row>
    <row r="26" spans="3:11" x14ac:dyDescent="0.25">
      <c r="K26" t="s">
        <v>63</v>
      </c>
    </row>
    <row r="28" spans="3:11" x14ac:dyDescent="0.25">
      <c r="K28" s="5" t="s">
        <v>102</v>
      </c>
    </row>
    <row r="29" spans="3:11" x14ac:dyDescent="0.25">
      <c r="K29" s="6"/>
    </row>
    <row r="30" spans="3:11" x14ac:dyDescent="0.25">
      <c r="K30" s="4" t="s">
        <v>103</v>
      </c>
    </row>
    <row r="31" spans="3:11" x14ac:dyDescent="0.25">
      <c r="K31" s="4" t="s">
        <v>104</v>
      </c>
    </row>
    <row r="32" spans="3:11" x14ac:dyDescent="0.25">
      <c r="K32" s="4" t="s">
        <v>52</v>
      </c>
    </row>
    <row r="33" spans="11:11" x14ac:dyDescent="0.25">
      <c r="K33" s="4" t="s">
        <v>105</v>
      </c>
    </row>
    <row r="34" spans="11:11" x14ac:dyDescent="0.25">
      <c r="K34" s="6"/>
    </row>
    <row r="35" spans="11:11" x14ac:dyDescent="0.25">
      <c r="K35" s="4" t="s">
        <v>106</v>
      </c>
    </row>
    <row r="36" spans="11:11" x14ac:dyDescent="0.25">
      <c r="K36" s="4" t="s">
        <v>104</v>
      </c>
    </row>
    <row r="37" spans="11:11" x14ac:dyDescent="0.25">
      <c r="K37" s="4" t="s">
        <v>49</v>
      </c>
    </row>
    <row r="38" spans="11:11" x14ac:dyDescent="0.25">
      <c r="K38" s="4" t="s">
        <v>107</v>
      </c>
    </row>
    <row r="39" spans="11:11" x14ac:dyDescent="0.25">
      <c r="K39" s="6"/>
    </row>
    <row r="40" spans="11:11" x14ac:dyDescent="0.25">
      <c r="K40" s="4" t="s">
        <v>108</v>
      </c>
    </row>
    <row r="41" spans="11:11" x14ac:dyDescent="0.25">
      <c r="K41" s="4" t="s">
        <v>104</v>
      </c>
    </row>
    <row r="42" spans="11:11" x14ac:dyDescent="0.25">
      <c r="K42" s="4" t="s">
        <v>55</v>
      </c>
    </row>
    <row r="43" spans="11:11" x14ac:dyDescent="0.25">
      <c r="K43" s="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27FF-C5D9-4720-AC05-47518D1C8A2A}">
  <dimension ref="B2:I36"/>
  <sheetViews>
    <sheetView workbookViewId="0">
      <selection activeCell="D15" sqref="D15"/>
    </sheetView>
  </sheetViews>
  <sheetFormatPr baseColWidth="10" defaultRowHeight="15" x14ac:dyDescent="0.25"/>
  <cols>
    <col min="7" max="7" width="29.140625" customWidth="1"/>
  </cols>
  <sheetData>
    <row r="2" spans="2:9" x14ac:dyDescent="0.25">
      <c r="B2" s="2" t="s">
        <v>0</v>
      </c>
      <c r="C2" s="3" t="s">
        <v>2</v>
      </c>
      <c r="D2" s="2" t="s">
        <v>3</v>
      </c>
      <c r="E2" s="2"/>
      <c r="F2" s="3" t="s">
        <v>5</v>
      </c>
      <c r="G2" s="2" t="s">
        <v>16</v>
      </c>
      <c r="I2" s="4" t="s">
        <v>109</v>
      </c>
    </row>
    <row r="3" spans="2:9" x14ac:dyDescent="0.25">
      <c r="B3">
        <v>1</v>
      </c>
      <c r="C3" t="s">
        <v>1</v>
      </c>
      <c r="D3" t="s">
        <v>4</v>
      </c>
      <c r="F3" t="s">
        <v>133</v>
      </c>
      <c r="G3" t="s">
        <v>134</v>
      </c>
      <c r="I3" s="5" t="s">
        <v>135</v>
      </c>
    </row>
    <row r="4" spans="2:9" x14ac:dyDescent="0.25">
      <c r="B4">
        <v>2</v>
      </c>
      <c r="C4" s="11" t="s">
        <v>136</v>
      </c>
      <c r="D4" t="s">
        <v>4</v>
      </c>
      <c r="E4" t="s">
        <v>87</v>
      </c>
      <c r="F4" t="s">
        <v>137</v>
      </c>
      <c r="I4" s="5" t="s">
        <v>110</v>
      </c>
    </row>
    <row r="5" spans="2:9" x14ac:dyDescent="0.25">
      <c r="B5">
        <v>3</v>
      </c>
      <c r="C5" s="11" t="s">
        <v>138</v>
      </c>
      <c r="D5" t="s">
        <v>139</v>
      </c>
      <c r="E5" t="s">
        <v>87</v>
      </c>
      <c r="I5" s="5" t="s">
        <v>111</v>
      </c>
    </row>
    <row r="6" spans="2:9" x14ac:dyDescent="0.25">
      <c r="B6">
        <v>4</v>
      </c>
      <c r="C6" s="11" t="s">
        <v>140</v>
      </c>
      <c r="D6" t="s">
        <v>141</v>
      </c>
      <c r="E6" t="s">
        <v>87</v>
      </c>
      <c r="I6" s="5" t="s">
        <v>112</v>
      </c>
    </row>
    <row r="7" spans="2:9" x14ac:dyDescent="0.25">
      <c r="B7">
        <v>5</v>
      </c>
      <c r="C7" s="11" t="s">
        <v>142</v>
      </c>
      <c r="D7" t="s">
        <v>141</v>
      </c>
      <c r="E7" t="s">
        <v>87</v>
      </c>
      <c r="I7" s="5" t="s">
        <v>113</v>
      </c>
    </row>
    <row r="8" spans="2:9" x14ac:dyDescent="0.25">
      <c r="B8">
        <v>6</v>
      </c>
      <c r="C8" s="11" t="s">
        <v>143</v>
      </c>
      <c r="D8" t="s">
        <v>139</v>
      </c>
      <c r="E8" t="s">
        <v>144</v>
      </c>
      <c r="I8" s="5" t="s">
        <v>114</v>
      </c>
    </row>
    <row r="9" spans="2:9" x14ac:dyDescent="0.25">
      <c r="B9">
        <v>7</v>
      </c>
      <c r="C9" s="11" t="s">
        <v>98</v>
      </c>
      <c r="D9" t="s">
        <v>145</v>
      </c>
      <c r="E9" t="s">
        <v>146</v>
      </c>
      <c r="I9" s="5" t="s">
        <v>115</v>
      </c>
    </row>
    <row r="10" spans="2:9" x14ac:dyDescent="0.25">
      <c r="B10">
        <v>8</v>
      </c>
      <c r="C10" s="11" t="s">
        <v>8</v>
      </c>
      <c r="D10" t="s">
        <v>147</v>
      </c>
      <c r="E10" t="s">
        <v>43</v>
      </c>
      <c r="I10" s="5" t="s">
        <v>116</v>
      </c>
    </row>
    <row r="11" spans="2:9" x14ac:dyDescent="0.25">
      <c r="B11">
        <v>9</v>
      </c>
      <c r="C11" s="11" t="s">
        <v>236</v>
      </c>
      <c r="D11" t="s">
        <v>238</v>
      </c>
      <c r="E11" t="s">
        <v>239</v>
      </c>
      <c r="I11" s="5" t="s">
        <v>234</v>
      </c>
    </row>
    <row r="12" spans="2:9" x14ac:dyDescent="0.25">
      <c r="B12">
        <v>10</v>
      </c>
      <c r="C12" s="11" t="s">
        <v>237</v>
      </c>
      <c r="D12" t="s">
        <v>238</v>
      </c>
      <c r="I12" s="5" t="s">
        <v>235</v>
      </c>
    </row>
    <row r="13" spans="2:9" x14ac:dyDescent="0.25">
      <c r="C13" s="5"/>
      <c r="I13" s="8" t="s">
        <v>40</v>
      </c>
    </row>
    <row r="14" spans="2:9" x14ac:dyDescent="0.25">
      <c r="C14" s="5"/>
      <c r="I14" s="6"/>
    </row>
    <row r="15" spans="2:9" x14ac:dyDescent="0.25">
      <c r="C15" s="5"/>
      <c r="I15" s="5" t="s">
        <v>117</v>
      </c>
    </row>
    <row r="16" spans="2:9" x14ac:dyDescent="0.25">
      <c r="I16" s="6"/>
    </row>
    <row r="17" spans="9:9" x14ac:dyDescent="0.25">
      <c r="I17" s="4" t="s">
        <v>118</v>
      </c>
    </row>
    <row r="18" spans="9:9" x14ac:dyDescent="0.25">
      <c r="I18" s="4" t="s">
        <v>119</v>
      </c>
    </row>
    <row r="19" spans="9:9" x14ac:dyDescent="0.25">
      <c r="I19" s="4" t="s">
        <v>52</v>
      </c>
    </row>
    <row r="20" spans="9:9" x14ac:dyDescent="0.25">
      <c r="I20" s="4" t="s">
        <v>105</v>
      </c>
    </row>
    <row r="21" spans="9:9" x14ac:dyDescent="0.25">
      <c r="I21" s="6"/>
    </row>
    <row r="22" spans="9:9" x14ac:dyDescent="0.25">
      <c r="I22" s="4" t="s">
        <v>120</v>
      </c>
    </row>
    <row r="23" spans="9:9" x14ac:dyDescent="0.25">
      <c r="I23" s="4" t="s">
        <v>119</v>
      </c>
    </row>
    <row r="24" spans="9:9" x14ac:dyDescent="0.25">
      <c r="I24" s="4" t="s">
        <v>49</v>
      </c>
    </row>
    <row r="25" spans="9:9" x14ac:dyDescent="0.25">
      <c r="I25" s="4" t="s">
        <v>107</v>
      </c>
    </row>
    <row r="26" spans="9:9" x14ac:dyDescent="0.25">
      <c r="I26" s="6"/>
    </row>
    <row r="27" spans="9:9" x14ac:dyDescent="0.25">
      <c r="I27" s="4" t="s">
        <v>121</v>
      </c>
    </row>
    <row r="28" spans="9:9" x14ac:dyDescent="0.25">
      <c r="I28" s="4" t="s">
        <v>119</v>
      </c>
    </row>
    <row r="29" spans="9:9" x14ac:dyDescent="0.25">
      <c r="I29" s="4" t="s">
        <v>55</v>
      </c>
    </row>
    <row r="30" spans="9:9" x14ac:dyDescent="0.25">
      <c r="I30" s="4" t="s">
        <v>122</v>
      </c>
    </row>
    <row r="31" spans="9:9" x14ac:dyDescent="0.25">
      <c r="I31" s="4" t="s">
        <v>107</v>
      </c>
    </row>
    <row r="32" spans="9:9" x14ac:dyDescent="0.25">
      <c r="I32" s="6"/>
    </row>
    <row r="33" spans="9:9" x14ac:dyDescent="0.25">
      <c r="I33" s="4" t="s">
        <v>123</v>
      </c>
    </row>
    <row r="34" spans="9:9" x14ac:dyDescent="0.25">
      <c r="I34" s="4" t="s">
        <v>119</v>
      </c>
    </row>
    <row r="35" spans="9:9" x14ac:dyDescent="0.25">
      <c r="I35" s="4" t="s">
        <v>124</v>
      </c>
    </row>
    <row r="36" spans="9:9" x14ac:dyDescent="0.25">
      <c r="I36" s="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1155-6C7C-4B7E-B65D-8C5639CA41D6}">
  <dimension ref="A1:I27"/>
  <sheetViews>
    <sheetView workbookViewId="0">
      <selection activeCell="B3" sqref="B3:G3"/>
    </sheetView>
  </sheetViews>
  <sheetFormatPr baseColWidth="10" defaultRowHeight="15" x14ac:dyDescent="0.25"/>
  <sheetData>
    <row r="1" spans="1:9" x14ac:dyDescent="0.25">
      <c r="A1" t="s">
        <v>148</v>
      </c>
    </row>
    <row r="3" spans="1:9" x14ac:dyDescent="0.25">
      <c r="B3" s="2" t="s">
        <v>0</v>
      </c>
      <c r="C3" s="3" t="s">
        <v>2</v>
      </c>
      <c r="D3" s="2" t="s">
        <v>3</v>
      </c>
      <c r="E3" s="2"/>
      <c r="F3" s="3" t="s">
        <v>5</v>
      </c>
      <c r="G3" s="2" t="s">
        <v>16</v>
      </c>
      <c r="I3" s="4" t="s">
        <v>149</v>
      </c>
    </row>
    <row r="4" spans="1:9" x14ac:dyDescent="0.25">
      <c r="B4">
        <v>1</v>
      </c>
      <c r="C4" s="5" t="s">
        <v>71</v>
      </c>
      <c r="I4" s="5" t="s">
        <v>71</v>
      </c>
    </row>
    <row r="5" spans="1:9" x14ac:dyDescent="0.25">
      <c r="C5" s="5" t="s">
        <v>110</v>
      </c>
      <c r="I5" s="5" t="s">
        <v>110</v>
      </c>
    </row>
    <row r="6" spans="1:9" x14ac:dyDescent="0.25">
      <c r="C6" s="5" t="s">
        <v>150</v>
      </c>
      <c r="I6" s="5" t="s">
        <v>150</v>
      </c>
    </row>
    <row r="7" spans="1:9" x14ac:dyDescent="0.25">
      <c r="C7" s="5" t="s">
        <v>151</v>
      </c>
      <c r="I7" s="5" t="s">
        <v>151</v>
      </c>
    </row>
    <row r="8" spans="1:9" x14ac:dyDescent="0.25">
      <c r="C8" s="5" t="s">
        <v>112</v>
      </c>
      <c r="I8" s="5" t="s">
        <v>112</v>
      </c>
    </row>
    <row r="9" spans="1:9" x14ac:dyDescent="0.25">
      <c r="C9" s="5" t="s">
        <v>113</v>
      </c>
      <c r="I9" s="5" t="s">
        <v>113</v>
      </c>
    </row>
    <row r="10" spans="1:9" x14ac:dyDescent="0.25">
      <c r="C10" s="5" t="s">
        <v>152</v>
      </c>
      <c r="I10" s="5" t="s">
        <v>152</v>
      </c>
    </row>
    <row r="11" spans="1:9" x14ac:dyDescent="0.25">
      <c r="C11" s="5" t="s">
        <v>153</v>
      </c>
      <c r="I11" s="5" t="s">
        <v>153</v>
      </c>
    </row>
    <row r="12" spans="1:9" x14ac:dyDescent="0.25">
      <c r="C12" s="5" t="s">
        <v>116</v>
      </c>
      <c r="I12" s="5" t="s">
        <v>116</v>
      </c>
    </row>
    <row r="13" spans="1:9" x14ac:dyDescent="0.25">
      <c r="I13" s="8" t="s">
        <v>40</v>
      </c>
    </row>
    <row r="14" spans="1:9" x14ac:dyDescent="0.25">
      <c r="I14" s="6"/>
    </row>
    <row r="15" spans="1:9" x14ac:dyDescent="0.25">
      <c r="I15" s="5" t="s">
        <v>154</v>
      </c>
    </row>
    <row r="16" spans="1:9" x14ac:dyDescent="0.25">
      <c r="I16" s="6"/>
    </row>
    <row r="17" spans="9:9" x14ac:dyDescent="0.25">
      <c r="I17" s="4" t="s">
        <v>155</v>
      </c>
    </row>
    <row r="18" spans="9:9" x14ac:dyDescent="0.25">
      <c r="I18" s="4" t="s">
        <v>156</v>
      </c>
    </row>
    <row r="19" spans="9:9" x14ac:dyDescent="0.25">
      <c r="I19" s="4" t="s">
        <v>105</v>
      </c>
    </row>
    <row r="20" spans="9:9" x14ac:dyDescent="0.25">
      <c r="I20" s="6"/>
    </row>
    <row r="21" spans="9:9" x14ac:dyDescent="0.25">
      <c r="I21" s="4" t="s">
        <v>157</v>
      </c>
    </row>
    <row r="22" spans="9:9" x14ac:dyDescent="0.25">
      <c r="I22" s="4" t="s">
        <v>158</v>
      </c>
    </row>
    <row r="23" spans="9:9" x14ac:dyDescent="0.25">
      <c r="I23" s="4" t="s">
        <v>107</v>
      </c>
    </row>
    <row r="24" spans="9:9" x14ac:dyDescent="0.25">
      <c r="I24" s="6"/>
    </row>
    <row r="25" spans="9:9" x14ac:dyDescent="0.25">
      <c r="I25" s="4" t="s">
        <v>159</v>
      </c>
    </row>
    <row r="26" spans="9:9" x14ac:dyDescent="0.25">
      <c r="I26" s="4" t="s">
        <v>160</v>
      </c>
    </row>
    <row r="27" spans="9:9" x14ac:dyDescent="0.25">
      <c r="I27" s="4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7500-9E04-428F-8213-B4B9495830D5}">
  <dimension ref="C3:L69"/>
  <sheetViews>
    <sheetView topLeftCell="A23" workbookViewId="0">
      <selection activeCell="L65" sqref="L65:L69"/>
    </sheetView>
  </sheetViews>
  <sheetFormatPr baseColWidth="10" defaultRowHeight="15" x14ac:dyDescent="0.25"/>
  <sheetData>
    <row r="3" spans="3:12" x14ac:dyDescent="0.25">
      <c r="C3" s="2" t="s">
        <v>0</v>
      </c>
      <c r="D3" s="3" t="s">
        <v>2</v>
      </c>
      <c r="E3" s="2" t="s">
        <v>3</v>
      </c>
      <c r="F3" s="2"/>
      <c r="G3" s="3" t="s">
        <v>5</v>
      </c>
      <c r="H3" s="2" t="s">
        <v>16</v>
      </c>
    </row>
    <row r="4" spans="3:12" x14ac:dyDescent="0.25">
      <c r="C4">
        <v>1</v>
      </c>
      <c r="D4" t="s">
        <v>241</v>
      </c>
      <c r="L4" t="s">
        <v>240</v>
      </c>
    </row>
    <row r="5" spans="3:12" x14ac:dyDescent="0.25">
      <c r="C5">
        <v>2</v>
      </c>
      <c r="D5" t="s">
        <v>242</v>
      </c>
    </row>
    <row r="6" spans="3:12" x14ac:dyDescent="0.25">
      <c r="C6">
        <v>3</v>
      </c>
      <c r="D6" t="s">
        <v>243</v>
      </c>
      <c r="L6" t="s">
        <v>241</v>
      </c>
    </row>
    <row r="7" spans="3:12" x14ac:dyDescent="0.25">
      <c r="C7">
        <v>4</v>
      </c>
      <c r="D7" t="s">
        <v>244</v>
      </c>
    </row>
    <row r="8" spans="3:12" x14ac:dyDescent="0.25">
      <c r="C8">
        <v>5</v>
      </c>
      <c r="D8" t="s">
        <v>245</v>
      </c>
      <c r="L8" t="s">
        <v>242</v>
      </c>
    </row>
    <row r="9" spans="3:12" x14ac:dyDescent="0.25">
      <c r="C9">
        <v>6</v>
      </c>
      <c r="D9" t="s">
        <v>246</v>
      </c>
    </row>
    <row r="10" spans="3:12" x14ac:dyDescent="0.25">
      <c r="C10">
        <v>7</v>
      </c>
      <c r="D10" t="s">
        <v>247</v>
      </c>
      <c r="L10" t="s">
        <v>243</v>
      </c>
    </row>
    <row r="11" spans="3:12" x14ac:dyDescent="0.25">
      <c r="C11">
        <v>8</v>
      </c>
      <c r="D11" t="s">
        <v>248</v>
      </c>
    </row>
    <row r="12" spans="3:12" x14ac:dyDescent="0.25">
      <c r="C12">
        <v>9</v>
      </c>
      <c r="D12" t="s">
        <v>249</v>
      </c>
      <c r="L12" t="s">
        <v>244</v>
      </c>
    </row>
    <row r="13" spans="3:12" x14ac:dyDescent="0.25">
      <c r="C13">
        <v>10</v>
      </c>
      <c r="D13" t="s">
        <v>250</v>
      </c>
    </row>
    <row r="14" spans="3:12" x14ac:dyDescent="0.25">
      <c r="C14">
        <v>11</v>
      </c>
      <c r="D14" t="s">
        <v>251</v>
      </c>
      <c r="L14" t="s">
        <v>245</v>
      </c>
    </row>
    <row r="16" spans="3:12" x14ac:dyDescent="0.25">
      <c r="L16" t="s">
        <v>246</v>
      </c>
    </row>
    <row r="18" spans="12:12" x14ac:dyDescent="0.25">
      <c r="L18" t="s">
        <v>247</v>
      </c>
    </row>
    <row r="20" spans="12:12" x14ac:dyDescent="0.25">
      <c r="L20" t="s">
        <v>248</v>
      </c>
    </row>
    <row r="22" spans="12:12" x14ac:dyDescent="0.25">
      <c r="L22" t="s">
        <v>249</v>
      </c>
    </row>
    <row r="24" spans="12:12" x14ac:dyDescent="0.25">
      <c r="L24" t="s">
        <v>250</v>
      </c>
    </row>
    <row r="26" spans="12:12" x14ac:dyDescent="0.25">
      <c r="L26" t="s">
        <v>251</v>
      </c>
    </row>
    <row r="28" spans="12:12" x14ac:dyDescent="0.25">
      <c r="L28" t="s">
        <v>40</v>
      </c>
    </row>
    <row r="31" spans="12:12" x14ac:dyDescent="0.25">
      <c r="L31" t="s">
        <v>252</v>
      </c>
    </row>
    <row r="33" spans="12:12" x14ac:dyDescent="0.25">
      <c r="L33" t="s">
        <v>253</v>
      </c>
    </row>
    <row r="34" spans="12:12" x14ac:dyDescent="0.25">
      <c r="L34" t="s">
        <v>254</v>
      </c>
    </row>
    <row r="35" spans="12:12" x14ac:dyDescent="0.25">
      <c r="L35" t="s">
        <v>255</v>
      </c>
    </row>
    <row r="36" spans="12:12" x14ac:dyDescent="0.25">
      <c r="L36" t="s">
        <v>256</v>
      </c>
    </row>
    <row r="38" spans="12:12" x14ac:dyDescent="0.25">
      <c r="L38" t="s">
        <v>257</v>
      </c>
    </row>
    <row r="39" spans="12:12" x14ac:dyDescent="0.25">
      <c r="L39" t="s">
        <v>254</v>
      </c>
    </row>
    <row r="40" spans="12:12" x14ac:dyDescent="0.25">
      <c r="L40" t="s">
        <v>258</v>
      </c>
    </row>
    <row r="41" spans="12:12" x14ac:dyDescent="0.25">
      <c r="L41" t="s">
        <v>259</v>
      </c>
    </row>
    <row r="43" spans="12:12" x14ac:dyDescent="0.25">
      <c r="L43" t="s">
        <v>260</v>
      </c>
    </row>
    <row r="44" spans="12:12" x14ac:dyDescent="0.25">
      <c r="L44" t="s">
        <v>254</v>
      </c>
    </row>
    <row r="45" spans="12:12" x14ac:dyDescent="0.25">
      <c r="L45" t="s">
        <v>261</v>
      </c>
    </row>
    <row r="46" spans="12:12" x14ac:dyDescent="0.25">
      <c r="L46" t="s">
        <v>262</v>
      </c>
    </row>
    <row r="47" spans="12:12" x14ac:dyDescent="0.25">
      <c r="L47" t="s">
        <v>259</v>
      </c>
    </row>
    <row r="49" spans="11:12" x14ac:dyDescent="0.25">
      <c r="L49" t="s">
        <v>263</v>
      </c>
    </row>
    <row r="50" spans="11:12" x14ac:dyDescent="0.25">
      <c r="L50" t="s">
        <v>254</v>
      </c>
    </row>
    <row r="51" spans="11:12" x14ac:dyDescent="0.25">
      <c r="L51" t="s">
        <v>264</v>
      </c>
    </row>
    <row r="52" spans="11:12" x14ac:dyDescent="0.25">
      <c r="L52" t="s">
        <v>256</v>
      </c>
    </row>
    <row r="55" spans="11:12" x14ac:dyDescent="0.25">
      <c r="K55" s="21"/>
      <c r="L55" t="s">
        <v>266</v>
      </c>
    </row>
    <row r="56" spans="11:12" x14ac:dyDescent="0.25">
      <c r="L56" t="s">
        <v>267</v>
      </c>
    </row>
    <row r="57" spans="11:12" x14ac:dyDescent="0.25">
      <c r="L57" t="s">
        <v>268</v>
      </c>
    </row>
    <row r="58" spans="11:12" x14ac:dyDescent="0.25">
      <c r="L58" t="s">
        <v>269</v>
      </c>
    </row>
    <row r="60" spans="11:12" x14ac:dyDescent="0.25">
      <c r="L60" s="20" t="s">
        <v>265</v>
      </c>
    </row>
    <row r="61" spans="11:12" x14ac:dyDescent="0.25">
      <c r="L61" s="20" t="s">
        <v>272</v>
      </c>
    </row>
    <row r="62" spans="11:12" x14ac:dyDescent="0.25">
      <c r="L62" s="20" t="s">
        <v>273</v>
      </c>
    </row>
    <row r="63" spans="11:12" x14ac:dyDescent="0.25">
      <c r="L63" s="20" t="s">
        <v>274</v>
      </c>
    </row>
    <row r="65" spans="12:12" x14ac:dyDescent="0.25">
      <c r="L65" s="20" t="s">
        <v>265</v>
      </c>
    </row>
    <row r="66" spans="12:12" x14ac:dyDescent="0.25">
      <c r="L66" s="20" t="s">
        <v>286</v>
      </c>
    </row>
    <row r="67" spans="12:12" x14ac:dyDescent="0.25">
      <c r="L67" s="20" t="s">
        <v>287</v>
      </c>
    </row>
    <row r="68" spans="12:12" x14ac:dyDescent="0.25">
      <c r="L68" s="20" t="s">
        <v>288</v>
      </c>
    </row>
    <row r="69" spans="12:12" x14ac:dyDescent="0.25">
      <c r="L69" s="20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5D2C-925A-45C1-BB82-FE55C4BFFBF1}">
  <dimension ref="H3:H31"/>
  <sheetViews>
    <sheetView topLeftCell="A25" workbookViewId="0">
      <selection activeCell="H39" sqref="H39"/>
    </sheetView>
  </sheetViews>
  <sheetFormatPr baseColWidth="10" defaultRowHeight="15" x14ac:dyDescent="0.25"/>
  <sheetData>
    <row r="3" spans="8:8" x14ac:dyDescent="0.25">
      <c r="H3" s="23" t="s">
        <v>275</v>
      </c>
    </row>
    <row r="4" spans="8:8" x14ac:dyDescent="0.25">
      <c r="H4" s="20" t="s">
        <v>276</v>
      </c>
    </row>
    <row r="5" spans="8:8" x14ac:dyDescent="0.25">
      <c r="H5" s="6"/>
    </row>
    <row r="6" spans="8:8" x14ac:dyDescent="0.25">
      <c r="H6" s="20" t="s">
        <v>277</v>
      </c>
    </row>
    <row r="7" spans="8:8" x14ac:dyDescent="0.25">
      <c r="H7" s="20" t="s">
        <v>278</v>
      </c>
    </row>
    <row r="8" spans="8:8" x14ac:dyDescent="0.25">
      <c r="H8" s="6"/>
    </row>
    <row r="9" spans="8:8" x14ac:dyDescent="0.25">
      <c r="H9" s="20" t="s">
        <v>279</v>
      </c>
    </row>
    <row r="10" spans="8:8" x14ac:dyDescent="0.25">
      <c r="H10" s="6"/>
    </row>
    <row r="11" spans="8:8" x14ac:dyDescent="0.25">
      <c r="H11" s="20" t="s">
        <v>280</v>
      </c>
    </row>
    <row r="12" spans="8:8" x14ac:dyDescent="0.25">
      <c r="H12" s="24" t="s">
        <v>40</v>
      </c>
    </row>
    <row r="15" spans="8:8" x14ac:dyDescent="0.25">
      <c r="H15" t="s">
        <v>281</v>
      </c>
    </row>
    <row r="17" spans="8:8" x14ac:dyDescent="0.25">
      <c r="H17" t="s">
        <v>282</v>
      </c>
    </row>
    <row r="18" spans="8:8" x14ac:dyDescent="0.25">
      <c r="H18" t="s">
        <v>283</v>
      </c>
    </row>
    <row r="19" spans="8:8" x14ac:dyDescent="0.25">
      <c r="H19" t="s">
        <v>255</v>
      </c>
    </row>
    <row r="20" spans="8:8" x14ac:dyDescent="0.25">
      <c r="H20" t="s">
        <v>256</v>
      </c>
    </row>
    <row r="22" spans="8:8" x14ac:dyDescent="0.25">
      <c r="H22" t="s">
        <v>284</v>
      </c>
    </row>
    <row r="23" spans="8:8" x14ac:dyDescent="0.25">
      <c r="H23" t="s">
        <v>283</v>
      </c>
    </row>
    <row r="24" spans="8:8" x14ac:dyDescent="0.25">
      <c r="H24" t="s">
        <v>258</v>
      </c>
    </row>
    <row r="25" spans="8:8" x14ac:dyDescent="0.25">
      <c r="H25" t="s">
        <v>259</v>
      </c>
    </row>
    <row r="27" spans="8:8" x14ac:dyDescent="0.25">
      <c r="H27" t="s">
        <v>285</v>
      </c>
    </row>
    <row r="28" spans="8:8" x14ac:dyDescent="0.25">
      <c r="H28" t="s">
        <v>283</v>
      </c>
    </row>
    <row r="29" spans="8:8" x14ac:dyDescent="0.25">
      <c r="H29" t="s">
        <v>261</v>
      </c>
    </row>
    <row r="30" spans="8:8" x14ac:dyDescent="0.25">
      <c r="H30" t="s">
        <v>262</v>
      </c>
    </row>
    <row r="31" spans="8:8" x14ac:dyDescent="0.25">
      <c r="H31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9B3F-12EE-45B1-9885-39197B65D222}">
  <dimension ref="C3:J32"/>
  <sheetViews>
    <sheetView topLeftCell="A2" workbookViewId="0">
      <selection activeCell="F31" sqref="F31"/>
    </sheetView>
  </sheetViews>
  <sheetFormatPr baseColWidth="10" defaultRowHeight="15" x14ac:dyDescent="0.25"/>
  <cols>
    <col min="3" max="3" width="14.5703125" customWidth="1"/>
    <col min="4" max="4" width="21.5703125" customWidth="1"/>
    <col min="5" max="5" width="18.85546875" customWidth="1"/>
    <col min="6" max="6" width="28.42578125" customWidth="1"/>
    <col min="7" max="8" width="22" customWidth="1"/>
  </cols>
  <sheetData>
    <row r="3" spans="3:10" x14ac:dyDescent="0.25">
      <c r="C3" t="s">
        <v>0</v>
      </c>
      <c r="D3" t="s">
        <v>29</v>
      </c>
      <c r="E3" t="s">
        <v>30</v>
      </c>
    </row>
    <row r="4" spans="3:10" x14ac:dyDescent="0.25">
      <c r="C4">
        <v>1</v>
      </c>
      <c r="D4" t="s">
        <v>28</v>
      </c>
      <c r="E4" t="s">
        <v>31</v>
      </c>
    </row>
    <row r="5" spans="3:10" x14ac:dyDescent="0.25">
      <c r="C5">
        <v>2</v>
      </c>
      <c r="D5" t="s">
        <v>6</v>
      </c>
      <c r="E5" t="s">
        <v>7</v>
      </c>
    </row>
    <row r="7" spans="3:10" x14ac:dyDescent="0.25">
      <c r="C7" t="s">
        <v>181</v>
      </c>
    </row>
    <row r="8" spans="3:10" x14ac:dyDescent="0.25">
      <c r="C8" t="s">
        <v>229</v>
      </c>
      <c r="D8" t="s">
        <v>10</v>
      </c>
      <c r="E8" t="s">
        <v>11</v>
      </c>
      <c r="F8" t="s">
        <v>6</v>
      </c>
      <c r="G8" t="s">
        <v>231</v>
      </c>
      <c r="H8" t="s">
        <v>232</v>
      </c>
    </row>
    <row r="9" spans="3:10" x14ac:dyDescent="0.25">
      <c r="C9" s="13" t="s">
        <v>183</v>
      </c>
      <c r="D9" s="14" t="s">
        <v>161</v>
      </c>
      <c r="E9" s="14" t="s">
        <v>171</v>
      </c>
      <c r="F9" s="15" t="s">
        <v>227</v>
      </c>
      <c r="G9" s="19" t="s">
        <v>228</v>
      </c>
      <c r="H9" s="19" t="s">
        <v>233</v>
      </c>
      <c r="I9" s="18">
        <v>29221</v>
      </c>
      <c r="J9" t="s">
        <v>225</v>
      </c>
    </row>
    <row r="10" spans="3:10" x14ac:dyDescent="0.25">
      <c r="C10" s="13" t="s">
        <v>184</v>
      </c>
      <c r="D10" s="14" t="s">
        <v>162</v>
      </c>
      <c r="E10" s="14" t="s">
        <v>172</v>
      </c>
      <c r="F10" s="15" t="s">
        <v>230</v>
      </c>
      <c r="G10" s="15"/>
      <c r="H10" s="15"/>
      <c r="I10" s="18">
        <v>29587</v>
      </c>
      <c r="J10" t="s">
        <v>226</v>
      </c>
    </row>
    <row r="11" spans="3:10" x14ac:dyDescent="0.25">
      <c r="C11" s="13" t="s">
        <v>185</v>
      </c>
      <c r="D11" s="14" t="s">
        <v>163</v>
      </c>
      <c r="E11" s="14" t="s">
        <v>173</v>
      </c>
      <c r="F11" s="15" t="s">
        <v>227</v>
      </c>
      <c r="G11" s="15"/>
      <c r="H11" s="15"/>
      <c r="I11" s="18">
        <v>29952</v>
      </c>
      <c r="J11" t="s">
        <v>226</v>
      </c>
    </row>
    <row r="12" spans="3:10" x14ac:dyDescent="0.25">
      <c r="C12" s="13" t="s">
        <v>186</v>
      </c>
      <c r="D12" s="14" t="s">
        <v>164</v>
      </c>
      <c r="E12" s="14" t="s">
        <v>174</v>
      </c>
      <c r="F12" s="15" t="s">
        <v>227</v>
      </c>
      <c r="G12" s="15"/>
      <c r="H12" s="15"/>
      <c r="I12" s="18">
        <v>30317</v>
      </c>
      <c r="J12" t="s">
        <v>226</v>
      </c>
    </row>
    <row r="13" spans="3:10" x14ac:dyDescent="0.25">
      <c r="C13" s="13" t="s">
        <v>187</v>
      </c>
      <c r="D13" s="14" t="s">
        <v>165</v>
      </c>
      <c r="E13" s="14" t="s">
        <v>175</v>
      </c>
      <c r="F13" s="15" t="s">
        <v>227</v>
      </c>
      <c r="G13" s="15"/>
      <c r="H13" s="15"/>
      <c r="I13" s="18">
        <v>30682</v>
      </c>
      <c r="J13" t="s">
        <v>226</v>
      </c>
    </row>
    <row r="14" spans="3:10" x14ac:dyDescent="0.25">
      <c r="C14" s="13" t="s">
        <v>188</v>
      </c>
      <c r="D14" s="14" t="s">
        <v>166</v>
      </c>
      <c r="E14" s="14" t="s">
        <v>176</v>
      </c>
      <c r="F14" s="15" t="s">
        <v>227</v>
      </c>
      <c r="G14" s="15"/>
      <c r="H14" s="15"/>
      <c r="I14" s="18">
        <v>31048</v>
      </c>
      <c r="J14" t="s">
        <v>225</v>
      </c>
    </row>
    <row r="15" spans="3:10" x14ac:dyDescent="0.25">
      <c r="C15" s="13" t="s">
        <v>189</v>
      </c>
      <c r="D15" s="14" t="s">
        <v>167</v>
      </c>
      <c r="E15" s="14" t="s">
        <v>177</v>
      </c>
      <c r="F15" s="15" t="s">
        <v>227</v>
      </c>
      <c r="G15" s="15"/>
      <c r="H15" s="15"/>
      <c r="I15" s="18">
        <v>31413</v>
      </c>
      <c r="J15" t="s">
        <v>225</v>
      </c>
    </row>
    <row r="16" spans="3:10" x14ac:dyDescent="0.25">
      <c r="C16" s="13" t="s">
        <v>190</v>
      </c>
      <c r="D16" s="14" t="s">
        <v>168</v>
      </c>
      <c r="E16" s="14" t="s">
        <v>178</v>
      </c>
      <c r="F16" s="15" t="s">
        <v>227</v>
      </c>
      <c r="G16" s="15"/>
      <c r="H16" s="15"/>
      <c r="I16" s="18">
        <v>31778</v>
      </c>
      <c r="J16" t="s">
        <v>225</v>
      </c>
    </row>
    <row r="17" spans="3:10" x14ac:dyDescent="0.25">
      <c r="C17" s="13" t="s">
        <v>191</v>
      </c>
      <c r="D17" s="14" t="s">
        <v>169</v>
      </c>
      <c r="E17" s="14" t="s">
        <v>179</v>
      </c>
      <c r="F17" s="15" t="s">
        <v>227</v>
      </c>
      <c r="G17" s="15"/>
      <c r="H17" s="15"/>
      <c r="I17" s="18">
        <v>32143</v>
      </c>
      <c r="J17" t="s">
        <v>225</v>
      </c>
    </row>
    <row r="18" spans="3:10" x14ac:dyDescent="0.25">
      <c r="C18" s="13" t="s">
        <v>192</v>
      </c>
      <c r="D18" s="14" t="s">
        <v>170</v>
      </c>
      <c r="E18" s="14" t="s">
        <v>180</v>
      </c>
      <c r="F18" s="15" t="s">
        <v>227</v>
      </c>
      <c r="G18" s="15"/>
      <c r="H18" s="15"/>
      <c r="I18" s="18">
        <v>32509</v>
      </c>
      <c r="J18" t="s">
        <v>225</v>
      </c>
    </row>
    <row r="21" spans="3:10" x14ac:dyDescent="0.25">
      <c r="C21" s="16" t="s">
        <v>182</v>
      </c>
    </row>
    <row r="23" spans="3:10" x14ac:dyDescent="0.25">
      <c r="C23" s="17" t="s">
        <v>193</v>
      </c>
      <c r="D23" t="s">
        <v>203</v>
      </c>
      <c r="E23" t="s">
        <v>213</v>
      </c>
      <c r="F23" s="12" t="s">
        <v>223</v>
      </c>
      <c r="G23" t="s">
        <v>226</v>
      </c>
    </row>
    <row r="24" spans="3:10" x14ac:dyDescent="0.25">
      <c r="C24" s="17" t="s">
        <v>194</v>
      </c>
      <c r="D24" t="s">
        <v>204</v>
      </c>
      <c r="E24" t="s">
        <v>214</v>
      </c>
      <c r="F24" s="12" t="s">
        <v>224</v>
      </c>
      <c r="G24" t="s">
        <v>226</v>
      </c>
    </row>
    <row r="25" spans="3:10" x14ac:dyDescent="0.25">
      <c r="C25" s="17" t="s">
        <v>195</v>
      </c>
      <c r="D25" t="s">
        <v>205</v>
      </c>
      <c r="E25" t="s">
        <v>215</v>
      </c>
      <c r="F25" s="12" t="s">
        <v>223</v>
      </c>
      <c r="G25" t="s">
        <v>226</v>
      </c>
    </row>
    <row r="26" spans="3:10" x14ac:dyDescent="0.25">
      <c r="C26" s="17" t="s">
        <v>196</v>
      </c>
      <c r="D26" t="s">
        <v>206</v>
      </c>
      <c r="E26" t="s">
        <v>216</v>
      </c>
      <c r="F26" s="12" t="s">
        <v>224</v>
      </c>
      <c r="G26" t="s">
        <v>226</v>
      </c>
    </row>
    <row r="27" spans="3:10" x14ac:dyDescent="0.25">
      <c r="C27" s="17" t="s">
        <v>197</v>
      </c>
      <c r="D27" t="s">
        <v>207</v>
      </c>
      <c r="E27" t="s">
        <v>217</v>
      </c>
      <c r="F27" s="12" t="s">
        <v>223</v>
      </c>
      <c r="G27" t="s">
        <v>226</v>
      </c>
    </row>
    <row r="28" spans="3:10" x14ac:dyDescent="0.25">
      <c r="C28" s="17" t="s">
        <v>198</v>
      </c>
      <c r="D28" t="s">
        <v>212</v>
      </c>
      <c r="E28" t="s">
        <v>218</v>
      </c>
      <c r="F28" s="12" t="s">
        <v>224</v>
      </c>
      <c r="G28" t="s">
        <v>225</v>
      </c>
    </row>
    <row r="29" spans="3:10" x14ac:dyDescent="0.25">
      <c r="C29" s="17" t="s">
        <v>199</v>
      </c>
      <c r="D29" t="s">
        <v>211</v>
      </c>
      <c r="E29" t="s">
        <v>219</v>
      </c>
      <c r="F29" s="12" t="s">
        <v>223</v>
      </c>
      <c r="G29" t="s">
        <v>225</v>
      </c>
    </row>
    <row r="30" spans="3:10" x14ac:dyDescent="0.25">
      <c r="C30" s="17" t="s">
        <v>200</v>
      </c>
      <c r="D30" t="s">
        <v>208</v>
      </c>
      <c r="E30" t="s">
        <v>220</v>
      </c>
      <c r="F30" s="12" t="s">
        <v>224</v>
      </c>
      <c r="G30" t="s">
        <v>225</v>
      </c>
    </row>
    <row r="31" spans="3:10" x14ac:dyDescent="0.25">
      <c r="C31" s="17" t="s">
        <v>201</v>
      </c>
      <c r="D31" t="s">
        <v>209</v>
      </c>
      <c r="E31" t="s">
        <v>221</v>
      </c>
      <c r="F31" s="12" t="s">
        <v>223</v>
      </c>
      <c r="G31" t="s">
        <v>225</v>
      </c>
    </row>
    <row r="32" spans="3:10" x14ac:dyDescent="0.25">
      <c r="C32" s="17" t="s">
        <v>202</v>
      </c>
      <c r="D32" t="s">
        <v>210</v>
      </c>
      <c r="E32" t="s">
        <v>222</v>
      </c>
      <c r="F32" s="12" t="s">
        <v>224</v>
      </c>
      <c r="G32" t="s">
        <v>225</v>
      </c>
    </row>
  </sheetData>
  <hyperlinks>
    <hyperlink ref="F9" r:id="rId1" xr:uid="{AFFDB479-78A1-4CC7-857E-642F4646C701}"/>
    <hyperlink ref="F23" r:id="rId2" xr:uid="{AF00F8FC-CC95-4A68-8559-6FFBFB84A437}"/>
    <hyperlink ref="F24" r:id="rId3" xr:uid="{76851668-29CD-4593-A538-F81AB54B0B15}"/>
    <hyperlink ref="F25" r:id="rId4" xr:uid="{EEA64A98-1278-4F02-8B87-B9DD2B2368AF}"/>
    <hyperlink ref="F26" r:id="rId5" xr:uid="{D64CB1B5-04CD-48F9-A173-0277CA0EFBBB}"/>
    <hyperlink ref="F27" r:id="rId6" xr:uid="{7A4F541B-2CBB-4FA2-9027-1D9D7F8DA74E}"/>
    <hyperlink ref="F28" r:id="rId7" xr:uid="{B3CD559E-F6F6-4AF8-A397-2E90F8EF9895}"/>
    <hyperlink ref="F29" r:id="rId8" xr:uid="{002E3AB6-5428-4311-8AA4-73026220BD32}"/>
    <hyperlink ref="F30" r:id="rId9" xr:uid="{FBF405A3-009C-4BEB-B0F3-C35C4A1C9195}"/>
    <hyperlink ref="F31" r:id="rId10" xr:uid="{5F633231-4916-4C94-B036-D7B7AE74F692}"/>
    <hyperlink ref="F32" r:id="rId11" xr:uid="{290C5EF7-059E-4B17-8112-509BD263E8CB}"/>
    <hyperlink ref="F10:F18" r:id="rId12" display="mentalia200@gmail.com" xr:uid="{68882482-319D-4317-988C-DEDC6C94B433}"/>
    <hyperlink ref="F10" r:id="rId13" xr:uid="{7D9D5BBF-E2A2-4FF6-9438-EA6674AB6CD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A340-4A79-4469-932E-51DDCA3EF087}">
  <dimension ref="B2:B173"/>
  <sheetViews>
    <sheetView tabSelected="1" workbookViewId="0">
      <selection activeCell="B2" sqref="B2:B173"/>
    </sheetView>
  </sheetViews>
  <sheetFormatPr baseColWidth="10" defaultRowHeight="15" x14ac:dyDescent="0.25"/>
  <sheetData>
    <row r="2" spans="2:2" x14ac:dyDescent="0.25">
      <c r="B2" t="s">
        <v>290</v>
      </c>
    </row>
    <row r="3" spans="2:2" x14ac:dyDescent="0.25">
      <c r="B3" t="e" cm="1">
        <f t="array" ref="B3">-- TABLA: agenda_operativa</f>
        <v>#NAME?</v>
      </c>
    </row>
    <row r="4" spans="2:2" x14ac:dyDescent="0.25">
      <c r="B4" t="s">
        <v>291</v>
      </c>
    </row>
    <row r="5" spans="2:2" x14ac:dyDescent="0.25">
      <c r="B5" t="e" cm="1">
        <f t="array" ref="B5">-- Guardar la relación operativa entre un evento de Google Calendar</f>
        <v>#NAME?</v>
      </c>
    </row>
    <row r="6" spans="2:2" x14ac:dyDescent="0.25">
      <c r="B6" t="s">
        <v>292</v>
      </c>
    </row>
    <row r="7" spans="2:2" x14ac:dyDescent="0.25">
      <c r="B7" t="s">
        <v>290</v>
      </c>
    </row>
    <row r="9" spans="2:2" x14ac:dyDescent="0.25">
      <c r="B9" t="s">
        <v>293</v>
      </c>
    </row>
    <row r="10" spans="2:2" x14ac:dyDescent="0.25">
      <c r="B10" t="s">
        <v>241</v>
      </c>
    </row>
    <row r="12" spans="2:2" x14ac:dyDescent="0.25">
      <c r="B12" t="s">
        <v>294</v>
      </c>
    </row>
    <row r="13" spans="2:2" x14ac:dyDescent="0.25">
      <c r="B13" t="s">
        <v>295</v>
      </c>
    </row>
    <row r="15" spans="2:2" x14ac:dyDescent="0.25">
      <c r="B15" t="s">
        <v>296</v>
      </c>
    </row>
    <row r="16" spans="2:2" x14ac:dyDescent="0.25">
      <c r="B16" t="s">
        <v>297</v>
      </c>
    </row>
    <row r="17" spans="2:2" x14ac:dyDescent="0.25">
      <c r="B17" t="s">
        <v>298</v>
      </c>
    </row>
    <row r="18" spans="2:2" x14ac:dyDescent="0.25">
      <c r="B18" t="s">
        <v>299</v>
      </c>
    </row>
    <row r="20" spans="2:2" x14ac:dyDescent="0.25">
      <c r="B20" t="s">
        <v>300</v>
      </c>
    </row>
    <row r="21" spans="2:2" x14ac:dyDescent="0.25">
      <c r="B21" t="s">
        <v>301</v>
      </c>
    </row>
    <row r="23" spans="2:2" x14ac:dyDescent="0.25">
      <c r="B23" t="s">
        <v>302</v>
      </c>
    </row>
    <row r="25" spans="2:2" x14ac:dyDescent="0.25">
      <c r="B25" t="s">
        <v>303</v>
      </c>
    </row>
    <row r="26" spans="2:2" x14ac:dyDescent="0.25">
      <c r="B26" t="s">
        <v>304</v>
      </c>
    </row>
    <row r="28" spans="2:2" x14ac:dyDescent="0.25">
      <c r="B28" t="s">
        <v>305</v>
      </c>
    </row>
    <row r="29" spans="2:2" x14ac:dyDescent="0.25">
      <c r="B29" t="s">
        <v>306</v>
      </c>
    </row>
    <row r="30" spans="2:2" x14ac:dyDescent="0.25">
      <c r="B30" t="s">
        <v>307</v>
      </c>
    </row>
    <row r="31" spans="2:2" x14ac:dyDescent="0.25">
      <c r="B31" t="s">
        <v>308</v>
      </c>
    </row>
    <row r="32" spans="2:2" x14ac:dyDescent="0.25">
      <c r="B32" t="s">
        <v>309</v>
      </c>
    </row>
    <row r="33" spans="2:2" x14ac:dyDescent="0.25">
      <c r="B33" t="s">
        <v>310</v>
      </c>
    </row>
    <row r="34" spans="2:2" x14ac:dyDescent="0.25">
      <c r="B34" t="s">
        <v>311</v>
      </c>
    </row>
    <row r="35" spans="2:2" x14ac:dyDescent="0.25">
      <c r="B35" t="s">
        <v>312</v>
      </c>
    </row>
    <row r="36" spans="2:2" x14ac:dyDescent="0.25">
      <c r="B36" t="s">
        <v>313</v>
      </c>
    </row>
    <row r="37" spans="2:2" x14ac:dyDescent="0.25">
      <c r="B37" t="s">
        <v>314</v>
      </c>
    </row>
    <row r="38" spans="2:2" x14ac:dyDescent="0.25">
      <c r="B38" t="s">
        <v>315</v>
      </c>
    </row>
    <row r="40" spans="2:2" x14ac:dyDescent="0.25">
      <c r="B40" t="s">
        <v>316</v>
      </c>
    </row>
    <row r="41" spans="2:2" x14ac:dyDescent="0.25">
      <c r="B41" t="s">
        <v>306</v>
      </c>
    </row>
    <row r="42" spans="2:2" x14ac:dyDescent="0.25">
      <c r="B42" t="s">
        <v>317</v>
      </c>
    </row>
    <row r="43" spans="2:2" x14ac:dyDescent="0.25">
      <c r="B43" t="s">
        <v>318</v>
      </c>
    </row>
    <row r="44" spans="2:2" x14ac:dyDescent="0.25">
      <c r="B44" t="s">
        <v>319</v>
      </c>
    </row>
    <row r="45" spans="2:2" x14ac:dyDescent="0.25">
      <c r="B45" t="s">
        <v>320</v>
      </c>
    </row>
    <row r="46" spans="2:2" x14ac:dyDescent="0.25">
      <c r="B46" t="s">
        <v>314</v>
      </c>
    </row>
    <row r="47" spans="2:2" x14ac:dyDescent="0.25">
      <c r="B47" t="s">
        <v>321</v>
      </c>
    </row>
    <row r="48" spans="2:2" x14ac:dyDescent="0.25">
      <c r="B48" t="s">
        <v>40</v>
      </c>
    </row>
    <row r="50" spans="2:2" x14ac:dyDescent="0.25">
      <c r="B50" t="s">
        <v>290</v>
      </c>
    </row>
    <row r="51" spans="2:2" x14ac:dyDescent="0.25">
      <c r="B51" t="e" cm="1">
        <f t="array" ref="B51">-- ÍNDICES</f>
        <v>#NAME?</v>
      </c>
    </row>
    <row r="52" spans="2:2" x14ac:dyDescent="0.25">
      <c r="B52" t="s">
        <v>290</v>
      </c>
    </row>
    <row r="54" spans="2:2" x14ac:dyDescent="0.25">
      <c r="B54" t="s">
        <v>322</v>
      </c>
    </row>
    <row r="55" spans="2:2" x14ac:dyDescent="0.25">
      <c r="B55" t="s">
        <v>323</v>
      </c>
    </row>
    <row r="57" spans="2:2" x14ac:dyDescent="0.25">
      <c r="B57" t="s">
        <v>324</v>
      </c>
    </row>
    <row r="58" spans="2:2" x14ac:dyDescent="0.25">
      <c r="B58" t="s">
        <v>325</v>
      </c>
    </row>
    <row r="60" spans="2:2" x14ac:dyDescent="0.25">
      <c r="B60" t="s">
        <v>326</v>
      </c>
    </row>
    <row r="61" spans="2:2" x14ac:dyDescent="0.25">
      <c r="B61" t="s">
        <v>327</v>
      </c>
    </row>
    <row r="63" spans="2:2" x14ac:dyDescent="0.25">
      <c r="B63" t="s">
        <v>328</v>
      </c>
    </row>
    <row r="64" spans="2:2" x14ac:dyDescent="0.25">
      <c r="B64" t="s">
        <v>329</v>
      </c>
    </row>
    <row r="66" spans="2:2" x14ac:dyDescent="0.25">
      <c r="B66" t="s">
        <v>290</v>
      </c>
    </row>
    <row r="67" spans="2:2" x14ac:dyDescent="0.25">
      <c r="B67" t="e" cm="1">
        <f t="array" ref="B67">-- FOREIGN KEYS</f>
        <v>#NAME?</v>
      </c>
    </row>
    <row r="68" spans="2:2" x14ac:dyDescent="0.25">
      <c r="B68" t="s">
        <v>330</v>
      </c>
    </row>
    <row r="69" spans="2:2" x14ac:dyDescent="0.25">
      <c r="B69" t="s">
        <v>290</v>
      </c>
    </row>
    <row r="71" spans="2:2" x14ac:dyDescent="0.25">
      <c r="B71" t="s">
        <v>331</v>
      </c>
    </row>
    <row r="72" spans="2:2" x14ac:dyDescent="0.25">
      <c r="B72" t="s">
        <v>332</v>
      </c>
    </row>
    <row r="73" spans="2:2" x14ac:dyDescent="0.25">
      <c r="B73" t="s">
        <v>333</v>
      </c>
    </row>
    <row r="74" spans="2:2" x14ac:dyDescent="0.25">
      <c r="B74" t="s">
        <v>334</v>
      </c>
    </row>
    <row r="75" spans="2:2" x14ac:dyDescent="0.25">
      <c r="B75" t="s">
        <v>335</v>
      </c>
    </row>
    <row r="76" spans="2:2" x14ac:dyDescent="0.25">
      <c r="B76" t="s">
        <v>336</v>
      </c>
    </row>
    <row r="77" spans="2:2" x14ac:dyDescent="0.25">
      <c r="B77" t="s">
        <v>337</v>
      </c>
    </row>
    <row r="78" spans="2:2" x14ac:dyDescent="0.25">
      <c r="B78" t="s">
        <v>338</v>
      </c>
    </row>
    <row r="79" spans="2:2" x14ac:dyDescent="0.25">
      <c r="B79" t="s">
        <v>339</v>
      </c>
    </row>
    <row r="80" spans="2:2" x14ac:dyDescent="0.25">
      <c r="B80" t="s">
        <v>340</v>
      </c>
    </row>
    <row r="81" spans="2:2" x14ac:dyDescent="0.25">
      <c r="B81" t="s">
        <v>341</v>
      </c>
    </row>
    <row r="82" spans="2:2" x14ac:dyDescent="0.25">
      <c r="B82" t="s">
        <v>342</v>
      </c>
    </row>
    <row r="83" spans="2:2" x14ac:dyDescent="0.25">
      <c r="B83" t="s">
        <v>343</v>
      </c>
    </row>
    <row r="84" spans="2:2" x14ac:dyDescent="0.25">
      <c r="B84" t="s">
        <v>344</v>
      </c>
    </row>
    <row r="86" spans="2:2" x14ac:dyDescent="0.25">
      <c r="B86" t="s">
        <v>290</v>
      </c>
    </row>
    <row r="87" spans="2:2" x14ac:dyDescent="0.25">
      <c r="B87" t="e" cm="1">
        <f t="array" ref="B87">-- FUNCIÓN updated_at</f>
        <v>#NAME?</v>
      </c>
    </row>
    <row r="88" spans="2:2" x14ac:dyDescent="0.25">
      <c r="B88" t="s">
        <v>290</v>
      </c>
    </row>
    <row r="90" spans="2:2" x14ac:dyDescent="0.25">
      <c r="B90" t="s">
        <v>345</v>
      </c>
    </row>
    <row r="91" spans="2:2" x14ac:dyDescent="0.25">
      <c r="B91" t="s">
        <v>346</v>
      </c>
    </row>
    <row r="92" spans="2:2" x14ac:dyDescent="0.25">
      <c r="B92" t="s">
        <v>347</v>
      </c>
    </row>
    <row r="93" spans="2:2" x14ac:dyDescent="0.25">
      <c r="B93" t="s">
        <v>348</v>
      </c>
    </row>
    <row r="94" spans="2:2" x14ac:dyDescent="0.25">
      <c r="B94" t="s">
        <v>332</v>
      </c>
    </row>
    <row r="95" spans="2:2" x14ac:dyDescent="0.25">
      <c r="B95" t="s">
        <v>349</v>
      </c>
    </row>
    <row r="96" spans="2:2" x14ac:dyDescent="0.25">
      <c r="B96" t="s">
        <v>350</v>
      </c>
    </row>
    <row r="97" spans="2:2" x14ac:dyDescent="0.25">
      <c r="B97" t="s">
        <v>351</v>
      </c>
    </row>
    <row r="98" spans="2:2" x14ac:dyDescent="0.25">
      <c r="B98" t="s">
        <v>352</v>
      </c>
    </row>
    <row r="100" spans="2:2" x14ac:dyDescent="0.25">
      <c r="B100" t="s">
        <v>353</v>
      </c>
    </row>
    <row r="102" spans="2:2" x14ac:dyDescent="0.25">
      <c r="B102" t="s">
        <v>354</v>
      </c>
    </row>
    <row r="103" spans="2:2" x14ac:dyDescent="0.25">
      <c r="B103" t="s">
        <v>355</v>
      </c>
    </row>
    <row r="104" spans="2:2" x14ac:dyDescent="0.25">
      <c r="B104" t="s">
        <v>356</v>
      </c>
    </row>
    <row r="105" spans="2:2" x14ac:dyDescent="0.25">
      <c r="B105" t="s">
        <v>357</v>
      </c>
    </row>
    <row r="107" spans="2:2" x14ac:dyDescent="0.25">
      <c r="B107" t="s">
        <v>290</v>
      </c>
    </row>
    <row r="108" spans="2:2" x14ac:dyDescent="0.25">
      <c r="B108" t="e" cm="1">
        <f t="array" ref="B108">-- ACTIVAR ROW LEVEL SECURITY</f>
        <v>#NAME?</v>
      </c>
    </row>
    <row r="109" spans="2:2" x14ac:dyDescent="0.25">
      <c r="B109" t="s">
        <v>290</v>
      </c>
    </row>
    <row r="111" spans="2:2" x14ac:dyDescent="0.25">
      <c r="B111" t="s">
        <v>358</v>
      </c>
    </row>
    <row r="113" spans="2:2" x14ac:dyDescent="0.25">
      <c r="B113" t="s">
        <v>290</v>
      </c>
    </row>
    <row r="114" spans="2:2" x14ac:dyDescent="0.25">
      <c r="B114" t="e" cm="1">
        <f t="array" ref="B114">-- POLÍTICAS RLS</f>
        <v>#NAME?</v>
      </c>
    </row>
    <row r="115" spans="2:2" x14ac:dyDescent="0.25">
      <c r="B115" t="s">
        <v>359</v>
      </c>
    </row>
    <row r="116" spans="2:2" x14ac:dyDescent="0.25">
      <c r="B116" t="e" cm="1">
        <f t="array" ref="B116">-- El profesional autenticado solo puede operar registros propios.</f>
        <v>#NAME?</v>
      </c>
    </row>
    <row r="117" spans="2:2" x14ac:dyDescent="0.25">
      <c r="B117" t="s">
        <v>290</v>
      </c>
    </row>
    <row r="119" spans="2:2" x14ac:dyDescent="0.25">
      <c r="B119" t="s">
        <v>360</v>
      </c>
    </row>
    <row r="120" spans="2:2" x14ac:dyDescent="0.25">
      <c r="B120" t="s">
        <v>361</v>
      </c>
    </row>
    <row r="121" spans="2:2" x14ac:dyDescent="0.25">
      <c r="B121" t="s">
        <v>362</v>
      </c>
    </row>
    <row r="122" spans="2:2" x14ac:dyDescent="0.25">
      <c r="B122" t="s">
        <v>363</v>
      </c>
    </row>
    <row r="124" spans="2:2" x14ac:dyDescent="0.25">
      <c r="B124" t="s">
        <v>364</v>
      </c>
    </row>
    <row r="125" spans="2:2" x14ac:dyDescent="0.25">
      <c r="B125" t="s">
        <v>365</v>
      </c>
    </row>
    <row r="126" spans="2:2" x14ac:dyDescent="0.25">
      <c r="B126" t="s">
        <v>255</v>
      </c>
    </row>
    <row r="127" spans="2:2" x14ac:dyDescent="0.25">
      <c r="B127" t="s">
        <v>366</v>
      </c>
    </row>
    <row r="128" spans="2:2" x14ac:dyDescent="0.25">
      <c r="B128" t="s">
        <v>367</v>
      </c>
    </row>
    <row r="129" spans="2:2" x14ac:dyDescent="0.25">
      <c r="B129" t="s">
        <v>368</v>
      </c>
    </row>
    <row r="130" spans="2:2" x14ac:dyDescent="0.25">
      <c r="B130" t="s">
        <v>40</v>
      </c>
    </row>
    <row r="132" spans="2:2" x14ac:dyDescent="0.25">
      <c r="B132" t="s">
        <v>369</v>
      </c>
    </row>
    <row r="133" spans="2:2" x14ac:dyDescent="0.25">
      <c r="B133" t="s">
        <v>365</v>
      </c>
    </row>
    <row r="134" spans="2:2" x14ac:dyDescent="0.25">
      <c r="B134" t="s">
        <v>258</v>
      </c>
    </row>
    <row r="135" spans="2:2" x14ac:dyDescent="0.25">
      <c r="B135" t="s">
        <v>366</v>
      </c>
    </row>
    <row r="136" spans="2:2" x14ac:dyDescent="0.25">
      <c r="B136" t="s">
        <v>370</v>
      </c>
    </row>
    <row r="137" spans="2:2" x14ac:dyDescent="0.25">
      <c r="B137" t="s">
        <v>368</v>
      </c>
    </row>
    <row r="138" spans="2:2" x14ac:dyDescent="0.25">
      <c r="B138" t="s">
        <v>40</v>
      </c>
    </row>
    <row r="140" spans="2:2" x14ac:dyDescent="0.25">
      <c r="B140" t="s">
        <v>371</v>
      </c>
    </row>
    <row r="141" spans="2:2" x14ac:dyDescent="0.25">
      <c r="B141" t="s">
        <v>365</v>
      </c>
    </row>
    <row r="142" spans="2:2" x14ac:dyDescent="0.25">
      <c r="B142" t="s">
        <v>261</v>
      </c>
    </row>
    <row r="143" spans="2:2" x14ac:dyDescent="0.25">
      <c r="B143" t="s">
        <v>366</v>
      </c>
    </row>
    <row r="144" spans="2:2" x14ac:dyDescent="0.25">
      <c r="B144" t="s">
        <v>367</v>
      </c>
    </row>
    <row r="145" spans="2:2" x14ac:dyDescent="0.25">
      <c r="B145" t="s">
        <v>368</v>
      </c>
    </row>
    <row r="146" spans="2:2" x14ac:dyDescent="0.25">
      <c r="B146" t="s">
        <v>372</v>
      </c>
    </row>
    <row r="147" spans="2:2" x14ac:dyDescent="0.25">
      <c r="B147" t="s">
        <v>370</v>
      </c>
    </row>
    <row r="148" spans="2:2" x14ac:dyDescent="0.25">
      <c r="B148" t="s">
        <v>368</v>
      </c>
    </row>
    <row r="149" spans="2:2" x14ac:dyDescent="0.25">
      <c r="B149" t="s">
        <v>40</v>
      </c>
    </row>
    <row r="151" spans="2:2" x14ac:dyDescent="0.25">
      <c r="B151" t="s">
        <v>373</v>
      </c>
    </row>
    <row r="152" spans="2:2" x14ac:dyDescent="0.25">
      <c r="B152" t="s">
        <v>365</v>
      </c>
    </row>
    <row r="153" spans="2:2" x14ac:dyDescent="0.25">
      <c r="B153" t="s">
        <v>264</v>
      </c>
    </row>
    <row r="154" spans="2:2" x14ac:dyDescent="0.25">
      <c r="B154" t="s">
        <v>366</v>
      </c>
    </row>
    <row r="155" spans="2:2" x14ac:dyDescent="0.25">
      <c r="B155" t="s">
        <v>367</v>
      </c>
    </row>
    <row r="156" spans="2:2" x14ac:dyDescent="0.25">
      <c r="B156" t="s">
        <v>368</v>
      </c>
    </row>
    <row r="157" spans="2:2" x14ac:dyDescent="0.25">
      <c r="B157" t="s">
        <v>40</v>
      </c>
    </row>
    <row r="159" spans="2:2" x14ac:dyDescent="0.25">
      <c r="B159" t="s">
        <v>290</v>
      </c>
    </row>
    <row r="160" spans="2:2" x14ac:dyDescent="0.25">
      <c r="B160" t="e" cm="1">
        <f t="array" ref="B160">-- COMENTARIOS DOCUMENTALES</f>
        <v>#NAME?</v>
      </c>
    </row>
    <row r="161" spans="2:2" x14ac:dyDescent="0.25">
      <c r="B161" t="s">
        <v>290</v>
      </c>
    </row>
    <row r="163" spans="2:2" x14ac:dyDescent="0.25">
      <c r="B163" t="s">
        <v>374</v>
      </c>
    </row>
    <row r="164" spans="2:2" x14ac:dyDescent="0.25">
      <c r="B164" t="s">
        <v>375</v>
      </c>
    </row>
    <row r="166" spans="2:2" x14ac:dyDescent="0.25">
      <c r="B166" t="s">
        <v>376</v>
      </c>
    </row>
    <row r="167" spans="2:2" x14ac:dyDescent="0.25">
      <c r="B167" t="s">
        <v>377</v>
      </c>
    </row>
    <row r="169" spans="2:2" x14ac:dyDescent="0.25">
      <c r="B169" t="s">
        <v>378</v>
      </c>
    </row>
    <row r="170" spans="2:2" x14ac:dyDescent="0.25">
      <c r="B170" t="s">
        <v>379</v>
      </c>
    </row>
    <row r="172" spans="2:2" x14ac:dyDescent="0.25">
      <c r="B172" t="s">
        <v>380</v>
      </c>
    </row>
    <row r="173" spans="2:2" x14ac:dyDescent="0.25">
      <c r="B173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profesional</vt:lpstr>
      <vt:lpstr>pacientes</vt:lpstr>
      <vt:lpstr>disponibilidad_profesional</vt:lpstr>
      <vt:lpstr>citas</vt:lpstr>
      <vt:lpstr>sesionesClinicas</vt:lpstr>
      <vt:lpstr>profesionales_config</vt:lpstr>
      <vt:lpstr>Users</vt:lpstr>
      <vt:lpstr>AgendaOperativa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RodolfoEscobarK</dc:creator>
  <cp:lastModifiedBy>Rodolfo Escobar Keilendt</cp:lastModifiedBy>
  <dcterms:created xsi:type="dcterms:W3CDTF">2015-06-05T18:19:34Z</dcterms:created>
  <dcterms:modified xsi:type="dcterms:W3CDTF">2026-06-05T03:23:07Z</dcterms:modified>
</cp:coreProperties>
</file>